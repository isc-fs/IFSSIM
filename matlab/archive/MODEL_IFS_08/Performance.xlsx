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.sharepoint.com/sites/ISCFormulaStudent2022-Departmentdirectors/Documentos compartidos/00 · Department Directors/IFS08/DYNNAMIC_MODEL_IFS_08/"/>
    </mc:Choice>
  </mc:AlternateContent>
  <xr:revisionPtr revIDLastSave="594" documentId="11_00459A0D6BE25EFF90F3F8D36C05F5C43DC102FD" xr6:coauthVersionLast="47" xr6:coauthVersionMax="47" xr10:uidLastSave="{B282F578-2944-8742-B853-EBCE6A26C9C3}"/>
  <bookViews>
    <workbookView xWindow="0" yWindow="680" windowWidth="23260" windowHeight="12460" firstSheet="2" activeTab="3" xr2:uid="{00000000-000D-0000-FFFF-FFFF00000000}"/>
  </bookViews>
  <sheets>
    <sheet name="FSS2025" sheetId="1" r:id="rId1"/>
    <sheet name="FSATA2025" sheetId="6" r:id="rId2"/>
    <sheet name="ISC" sheetId="7" r:id="rId3"/>
    <sheet name="COOLINGG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</calcChain>
</file>

<file path=xl/sharedStrings.xml><?xml version="1.0" encoding="utf-8"?>
<sst xmlns="http://schemas.openxmlformats.org/spreadsheetml/2006/main" count="2320" uniqueCount="258">
  <si>
    <t>OVERALL SCORING 2025 FSS</t>
  </si>
  <si>
    <t>Skidpad 2025 FSS</t>
  </si>
  <si>
    <t>ACCELERATION 2025 FSS</t>
  </si>
  <si>
    <t>Place</t>
  </si>
  <si>
    <t>Car Num</t>
  </si>
  <si>
    <t>Team</t>
  </si>
  <si>
    <t>Business Plan</t>
  </si>
  <si>
    <t>Cost Score</t>
  </si>
  <si>
    <t>Design Score</t>
  </si>
  <si>
    <t>Skid Pad</t>
  </si>
  <si>
    <t>Acceleration</t>
  </si>
  <si>
    <t>Autocross</t>
  </si>
  <si>
    <t>Endurance</t>
  </si>
  <si>
    <t>Efficiency</t>
  </si>
  <si>
    <t>Penalty</t>
  </si>
  <si>
    <t>Total Score</t>
  </si>
  <si>
    <t>Driver 1 Run 1 Time R [s]</t>
  </si>
  <si>
    <t>Driver 1 Run 1 Time L [s]</t>
  </si>
  <si>
    <t>Driver 1 Run 1 Cones</t>
  </si>
  <si>
    <t>Driver 1 Run 1 Adj Time [s]</t>
  </si>
  <si>
    <t>Driver 1 Run 2 Time R [s]</t>
  </si>
  <si>
    <t>Driver 1 Run 2 Time L [s]</t>
  </si>
  <si>
    <t>Driver 1 Run 2 Cones</t>
  </si>
  <si>
    <t>Driver 1 Run 2 Adj Time [s]</t>
  </si>
  <si>
    <t>Driver 2 Run 1 Time R [s]</t>
  </si>
  <si>
    <t>Driver 2 Run 1 Time L [s]</t>
  </si>
  <si>
    <t>Driver 2 Run 1 Cones</t>
  </si>
  <si>
    <t>Driver 2 Run 1 Adj Time [s]</t>
  </si>
  <si>
    <t>Driver 2 Run 2 Time R [s]</t>
  </si>
  <si>
    <t>Driver 2 Run 2 Time L [s]</t>
  </si>
  <si>
    <t>Driver 2 Run 2 Cones</t>
  </si>
  <si>
    <t>Driver 2 Run 2 Adj Time [s]</t>
  </si>
  <si>
    <t>Best Time [s]</t>
  </si>
  <si>
    <t>Score</t>
  </si>
  <si>
    <t>Technical University of Munich</t>
  </si>
  <si>
    <t>University of Stuttgart</t>
  </si>
  <si>
    <t>Driver 1 Run 1 Time [s]</t>
  </si>
  <si>
    <t>Driver 1 Run 2 Time [s]</t>
  </si>
  <si>
    <t>Driver 2 Run 1 Time [s]</t>
  </si>
  <si>
    <t>Driver 2 Run 2 Time [s]</t>
  </si>
  <si>
    <t>DHBW Stuttgart</t>
  </si>
  <si>
    <t>DNA</t>
  </si>
  <si>
    <t>UAS Esslingen</t>
  </si>
  <si>
    <t>Universidade de Lisboa - Instituto Superior Técnico</t>
  </si>
  <si>
    <t>Escola Politècnica Superior d'Enginyeria de Manresa</t>
  </si>
  <si>
    <t>Leibniz Universität Hannover</t>
  </si>
  <si>
    <t>University of the Basque Country (UPV/EHU)</t>
  </si>
  <si>
    <t>Tecnun-University of Navarra</t>
  </si>
  <si>
    <t>UPC Barcelona</t>
  </si>
  <si>
    <t>DQ</t>
  </si>
  <si>
    <t>PHWT-Private Hochschule für Wirtschaft und Technik</t>
  </si>
  <si>
    <t>EPFL</t>
  </si>
  <si>
    <t>UAS RheinMain</t>
  </si>
  <si>
    <t>Shenzhen Technology University</t>
  </si>
  <si>
    <t>University of Seville</t>
  </si>
  <si>
    <t>Instituto Superior de Engenharia de Lisboa</t>
  </si>
  <si>
    <t>Transilvania University of Brasov</t>
  </si>
  <si>
    <t>Escola Superior d'Enginyeries Industrial, Aeroespacial i Audiovisual de Terrassa (UPC)</t>
  </si>
  <si>
    <t>HES-SO Valais-Wallis</t>
  </si>
  <si>
    <t>UPC EEBE</t>
  </si>
  <si>
    <t>UAS Konstanz</t>
  </si>
  <si>
    <t>University of Salamanca</t>
  </si>
  <si>
    <t>Politecnico di Torino</t>
  </si>
  <si>
    <t>Escola Universitária Salesiana de Sarrià</t>
  </si>
  <si>
    <t>UAS Mannheim</t>
  </si>
  <si>
    <t>Universidad de Málaga</t>
  </si>
  <si>
    <t>Ecole Nationale d'Ingénieurs de Metz</t>
  </si>
  <si>
    <t>Universidad Pontificia de Comillas</t>
  </si>
  <si>
    <t>SIGMA CLERMONT</t>
  </si>
  <si>
    <t>Polytechnic University of Coimbra</t>
  </si>
  <si>
    <t>UAS Hannover</t>
  </si>
  <si>
    <t>Universität Bremen</t>
  </si>
  <si>
    <t>TecnoCampus</t>
  </si>
  <si>
    <t>Centrale Lyon</t>
  </si>
  <si>
    <t>University of La Laguna</t>
  </si>
  <si>
    <t>Hochschule Offenburg</t>
  </si>
  <si>
    <t>UAS Ruhr West</t>
  </si>
  <si>
    <t>Escola Universitária Salesiana de Sarria</t>
  </si>
  <si>
    <t>AUTOCROSS 2025 FSS</t>
  </si>
  <si>
    <t>Driver 1 Run 1 Off Course</t>
  </si>
  <si>
    <t>Driver 1 Run 2 Off Course</t>
  </si>
  <si>
    <t>Driver 2 Run 1 Off Course</t>
  </si>
  <si>
    <t>Driver 2 Run 2 Off Course</t>
  </si>
  <si>
    <t>ENDURANCE 2025 FSS</t>
  </si>
  <si>
    <t>Time [s]</t>
  </si>
  <si>
    <t>Laps</t>
  </si>
  <si>
    <t>Cones</t>
  </si>
  <si>
    <t>Off Course</t>
  </si>
  <si>
    <t>Time Penalty</t>
  </si>
  <si>
    <t>Adjusted Time [s]</t>
  </si>
  <si>
    <t>Score Penalty</t>
  </si>
  <si>
    <t>Endurance Score</t>
  </si>
  <si>
    <t>DNF</t>
  </si>
  <si>
    <t>Escola Universitaria Salesiana de Sarrià</t>
  </si>
  <si>
    <t>Ecole Nationale d'Ingenieurs de Metz</t>
  </si>
  <si>
    <t>Escola Universitària Salesiana de Sarrià</t>
  </si>
  <si>
    <t>EFFICIENCY 2025 FSS</t>
  </si>
  <si>
    <t>Escola Superior d'Enginyeres Industrial, Aeroespacial i Audiovisual de Terrassa(UPC)</t>
  </si>
  <si>
    <t>Energy [kWh]</t>
  </si>
  <si>
    <t>Efficiency Factor</t>
  </si>
  <si>
    <t>Efficiency Score</t>
  </si>
  <si>
    <r>
      <t>¿Te gustaría que te </t>
    </r>
    <r>
      <rPr>
        <b/>
        <sz val="16"/>
        <color theme="1"/>
        <rFont val="Arial"/>
        <family val="2"/>
      </rPr>
      <t>ayude a calcular</t>
    </r>
    <r>
      <rPr>
        <sz val="16"/>
        <color theme="1"/>
        <rFont val="Arial"/>
        <family val="2"/>
      </rPr>
      <t> las eficiencias o a ordenar la tabla por alguna columna en particular?</t>
    </r>
  </si>
  <si>
    <t>Las respuestas de la IA pueden contener errores. Más información</t>
  </si>
  <si>
    <t>OVERALL</t>
  </si>
  <si>
    <t xml:space="preserve">ACCELERATION </t>
  </si>
  <si>
    <t>SKIDPAD</t>
  </si>
  <si>
    <t>AUTOCROSS</t>
  </si>
  <si>
    <t>ENDURANCE</t>
  </si>
  <si>
    <t>Car No.</t>
  </si>
  <si>
    <t>Team Name</t>
  </si>
  <si>
    <t>University</t>
  </si>
  <si>
    <t>Cost</t>
  </si>
  <si>
    <t>Presentation</t>
  </si>
  <si>
    <t>Design</t>
  </si>
  <si>
    <t>Penalties</t>
  </si>
  <si>
    <t>Total</t>
  </si>
  <si>
    <t>Run #1 Time</t>
  </si>
  <si>
    <t>Run #1 Cones</t>
  </si>
  <si>
    <t>Run #1 Adj</t>
  </si>
  <si>
    <t>Run #2 Time</t>
  </si>
  <si>
    <t>Run #2 Cones</t>
  </si>
  <si>
    <t>Run #2 Adj</t>
  </si>
  <si>
    <t>Run #3 Time</t>
  </si>
  <si>
    <t>Run #3 Cones</t>
  </si>
  <si>
    <t>Run #3 Adj</t>
  </si>
  <si>
    <t>Run #4 Time</t>
  </si>
  <si>
    <t>Run #4 Cones</t>
  </si>
  <si>
    <t>Run #4 Adj</t>
  </si>
  <si>
    <t>Best Time</t>
  </si>
  <si>
    <t>Run #1 Adj.</t>
  </si>
  <si>
    <t>Run #2 Adj.</t>
  </si>
  <si>
    <t>Run #3 Adj.</t>
  </si>
  <si>
    <t>Run #4 Adj.</t>
  </si>
  <si>
    <t>Car No</t>
  </si>
  <si>
    <t>Run1 Time</t>
  </si>
  <si>
    <t>Run1 Cones</t>
  </si>
  <si>
    <t>Run1 DOC</t>
  </si>
  <si>
    <t>Run1 Adj Time</t>
  </si>
  <si>
    <t>Run2 Time</t>
  </si>
  <si>
    <t>Run2 Cones</t>
  </si>
  <si>
    <t>Run2 DOC</t>
  </si>
  <si>
    <t>Run2 Adj Time</t>
  </si>
  <si>
    <t>Run3 Time</t>
  </si>
  <si>
    <t>Run3 Cones</t>
  </si>
  <si>
    <t>Run3 DOC</t>
  </si>
  <si>
    <t>Run3 Adj Time</t>
  </si>
  <si>
    <t>Run4 Time</t>
  </si>
  <si>
    <t>Run4 Cones</t>
  </si>
  <si>
    <t>Run4 DOC</t>
  </si>
  <si>
    <t>Run4 Adj Time</t>
  </si>
  <si>
    <t>Time</t>
  </si>
  <si>
    <t>Cone</t>
  </si>
  <si>
    <t>DOC</t>
  </si>
  <si>
    <t>Adj Time</t>
  </si>
  <si>
    <t>Adj Time Endurance</t>
  </si>
  <si>
    <t>Energy Used [kWh]</t>
  </si>
  <si>
    <t>Energy Corr [kWh/100km]</t>
  </si>
  <si>
    <t>WHZ Racing Team</t>
  </si>
  <si>
    <t>UAS Zwickau</t>
  </si>
  <si>
    <t>TU Wien Racing</t>
  </si>
  <si>
    <t>TU Wien</t>
  </si>
  <si>
    <t>-</t>
  </si>
  <si>
    <t>HAWKS Racing</t>
  </si>
  <si>
    <t>HAW Hamburg</t>
  </si>
  <si>
    <t>municHMotorsport e.V.</t>
  </si>
  <si>
    <t>UAS Munich</t>
  </si>
  <si>
    <t>Race UP Electric Padova</t>
  </si>
  <si>
    <t>Università di Padova</t>
  </si>
  <si>
    <t>Superior Engineering</t>
  </si>
  <si>
    <t>University of Ljubljana</t>
  </si>
  <si>
    <t>Dynamics e.V.</t>
  </si>
  <si>
    <t>OTH Regensburg</t>
  </si>
  <si>
    <t>UPBracing Team e.V.</t>
  </si>
  <si>
    <t>University of Paderborn</t>
  </si>
  <si>
    <t>E-Team Squadra Corse</t>
  </si>
  <si>
    <t>University of Pisa</t>
  </si>
  <si>
    <t>Strohm und Söhne</t>
  </si>
  <si>
    <t>UAS Nuernberg</t>
  </si>
  <si>
    <t>UniUD E-Racing Team</t>
  </si>
  <si>
    <t>Università degli Studi di Udine</t>
  </si>
  <si>
    <t>TU Istanbul Racing</t>
  </si>
  <si>
    <t>Istanbul Technical University</t>
  </si>
  <si>
    <t>Schanzer Racing Electric e.V.</t>
  </si>
  <si>
    <t>Technische Hochschule Ingolstadt</t>
  </si>
  <si>
    <t>Mainfranken Racing e.V.</t>
  </si>
  <si>
    <t>Technical University of Applied Sciences Würzburg-Schweinfurt</t>
  </si>
  <si>
    <t>32.5</t>
  </si>
  <si>
    <t>Bremergy</t>
  </si>
  <si>
    <t>Road Arrow</t>
  </si>
  <si>
    <t>University of Belgrade</t>
  </si>
  <si>
    <t>Sapienza Fast Charge</t>
  </si>
  <si>
    <t>La Sapienza Università di Roma</t>
  </si>
  <si>
    <t>UWB eRacing Team Pilsen</t>
  </si>
  <si>
    <t>University of West Bohemia in Pilsen</t>
  </si>
  <si>
    <t>Universität Brmeen</t>
  </si>
  <si>
    <t>UoP Racing Team</t>
  </si>
  <si>
    <t>University of Patras</t>
  </si>
  <si>
    <t>UniNa Corse - Squadra Corse Federico II</t>
  </si>
  <si>
    <t>Università degli Studi di Napoli Federico II</t>
  </si>
  <si>
    <t>Valais Wallis Racing Team</t>
  </si>
  <si>
    <t>HES-SO Valais Wallis</t>
  </si>
  <si>
    <t>Squadra Corse PoliTO</t>
  </si>
  <si>
    <t>Unical Reparto Corse</t>
  </si>
  <si>
    <t>Università della Calabria</t>
  </si>
  <si>
    <t>TH Würzburg-Schweinfurt</t>
  </si>
  <si>
    <t>3.75</t>
  </si>
  <si>
    <t>UniPR Racing Team</t>
  </si>
  <si>
    <t>Università di Parma</t>
  </si>
  <si>
    <t>Ferrara Squadra Corse</t>
  </si>
  <si>
    <t>Università degli Studi di Ferrara</t>
  </si>
  <si>
    <t>Scuderia Unicas</t>
  </si>
  <si>
    <t>Università degli Studi di Cassino e del Lazio Meridionale</t>
  </si>
  <si>
    <t>Università degli studi di Cassino e del Lazio Meridionale</t>
  </si>
  <si>
    <t>E-Racing Bergamo</t>
  </si>
  <si>
    <t>Università degli Studi di Bergamo</t>
  </si>
  <si>
    <t>KOU FORMULA E</t>
  </si>
  <si>
    <t>Kocaeli University</t>
  </si>
  <si>
    <t>UniTS Racing Team</t>
  </si>
  <si>
    <t>Università degli Studi di Trieste</t>
  </si>
  <si>
    <t>Università degli studi di Trieste</t>
  </si>
  <si>
    <t>VUB Racing</t>
  </si>
  <si>
    <t>Vrije Universiteit Brussel</t>
  </si>
  <si>
    <t>Università di Cassino e del Lazio Meridionale</t>
  </si>
  <si>
    <t>Aixtreme Racing</t>
  </si>
  <si>
    <t>Fachhochschule Aachen</t>
  </si>
  <si>
    <t>E-Team Duisburg-Essen e.V.</t>
  </si>
  <si>
    <t>University of Duisburg-Essen</t>
  </si>
  <si>
    <t>FSATA2024</t>
  </si>
  <si>
    <t>Car number</t>
  </si>
  <si>
    <t>BP</t>
  </si>
  <si>
    <t>COST</t>
  </si>
  <si>
    <t>DESIGN</t>
  </si>
  <si>
    <t>ACCEL</t>
  </si>
  <si>
    <t>AUTO</t>
  </si>
  <si>
    <t>EFFICIENCY</t>
  </si>
  <si>
    <t>PENALTY</t>
  </si>
  <si>
    <t>TOTAL SCORE</t>
  </si>
  <si>
    <t>26/36</t>
  </si>
  <si>
    <t xml:space="preserve">ISC FS Racing Team </t>
  </si>
  <si>
    <t>FSATA22</t>
  </si>
  <si>
    <t>18/26</t>
  </si>
  <si>
    <t>FSS 2023</t>
  </si>
  <si>
    <t>ICAI | Comillas Pontifical University</t>
  </si>
  <si>
    <t>RADIADORES POSIBLES</t>
  </si>
  <si>
    <t>Manufacturer</t>
  </si>
  <si>
    <t>Series</t>
  </si>
  <si>
    <t>Thickness</t>
  </si>
  <si>
    <t>Fan count</t>
  </si>
  <si>
    <t>Fan size</t>
  </si>
  <si>
    <t>VIABLE?</t>
  </si>
  <si>
    <t>Price</t>
  </si>
  <si>
    <t>T_wat_in</t>
  </si>
  <si>
    <t>T_wat_out</t>
  </si>
  <si>
    <t>Alphacool</t>
  </si>
  <si>
    <t>UT60 280</t>
  </si>
  <si>
    <t>ok</t>
  </si>
  <si>
    <t>Lin a las caracteristicas</t>
  </si>
  <si>
    <t>https://www.xtremerigs.net/2016/02/27/alphacool-nexxxos-ut60-280mm-radiator-review/all/1/#:~:text=UT60%20280mm%20Technical%20Specifications%20as,Weight:1764g%E2%80%9D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</si>
</sst>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7" fillId="0" borderId="0" xfId="1" applyFont="1"/>
    <xf numFmtId="0" fontId="0" fillId="0" borderId="1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8" fillId="0" borderId="0" xfId="0" applyFont="1"/>
    <xf numFmtId="0" fontId="1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google.com/websearch?p=aimo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tremerigs.net/2016/02/27/alphacool-nexxxos-ut60-280mm-radiator-review/all/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C135"/>
  <sheetViews>
    <sheetView topLeftCell="AA57" zoomScale="38" workbookViewId="0">
      <selection activeCell="BN90" sqref="BN90"/>
    </sheetView>
  </sheetViews>
  <sheetFormatPr baseColWidth="10" defaultColWidth="8.83203125" defaultRowHeight="15" x14ac:dyDescent="0.2"/>
  <cols>
    <col min="20" max="20" width="100.33203125" bestFit="1" customWidth="1"/>
    <col min="21" max="21" width="19.33203125" bestFit="1" customWidth="1"/>
    <col min="22" max="22" width="14.6640625" bestFit="1" customWidth="1"/>
    <col min="23" max="23" width="17.83203125" bestFit="1" customWidth="1"/>
    <col min="24" max="24" width="12" bestFit="1" customWidth="1"/>
    <col min="25" max="25" width="17.1640625" bestFit="1" customWidth="1"/>
    <col min="26" max="26" width="14.1640625" bestFit="1" customWidth="1"/>
    <col min="27" max="27" width="14.6640625" bestFit="1" customWidth="1"/>
    <col min="28" max="28" width="13.5" bestFit="1" customWidth="1"/>
    <col min="29" max="29" width="10.33203125" bestFit="1" customWidth="1"/>
    <col min="30" max="30" width="15.33203125" bestFit="1" customWidth="1"/>
    <col min="37" max="37" width="9.1640625" bestFit="1" customWidth="1"/>
    <col min="38" max="38" width="100.5" bestFit="1" customWidth="1"/>
    <col min="39" max="39" width="30.1640625" customWidth="1"/>
    <col min="40" max="40" width="39.33203125" bestFit="1" customWidth="1"/>
    <col min="41" max="41" width="40.6640625" bestFit="1" customWidth="1"/>
    <col min="42" max="42" width="42.5" bestFit="1" customWidth="1"/>
    <col min="43" max="43" width="40.5" bestFit="1" customWidth="1"/>
    <col min="44" max="44" width="39.83203125" bestFit="1" customWidth="1"/>
    <col min="45" max="45" width="41.33203125" bestFit="1" customWidth="1"/>
    <col min="46" max="46" width="43.1640625" bestFit="1" customWidth="1"/>
    <col min="47" max="47" width="40.5" bestFit="1" customWidth="1"/>
    <col min="48" max="48" width="39.83203125" bestFit="1" customWidth="1"/>
    <col min="50" max="50" width="43.1640625" bestFit="1" customWidth="1"/>
    <col min="51" max="51" width="41" bestFit="1" customWidth="1"/>
    <col min="52" max="52" width="40.5" bestFit="1" customWidth="1"/>
    <col min="53" max="53" width="41.83203125" bestFit="1" customWidth="1"/>
    <col min="54" max="54" width="43.6640625" bestFit="1" customWidth="1"/>
    <col min="55" max="55" width="22.83203125" bestFit="1" customWidth="1"/>
    <col min="56" max="56" width="13.5" bestFit="1" customWidth="1"/>
    <col min="57" max="57" width="11.33203125" bestFit="1" customWidth="1"/>
    <col min="64" max="64" width="100.33203125" bestFit="1" customWidth="1"/>
    <col min="65" max="65" width="29.6640625" bestFit="1" customWidth="1"/>
    <col min="66" max="66" width="27.83203125" bestFit="1" customWidth="1"/>
    <col min="67" max="67" width="34.6640625" bestFit="1" customWidth="1"/>
    <col min="68" max="68" width="29.6640625" bestFit="1" customWidth="1"/>
    <col min="69" max="69" width="27.83203125" bestFit="1" customWidth="1"/>
    <col min="70" max="70" width="34.6640625" bestFit="1" customWidth="1"/>
    <col min="71" max="71" width="29.6640625" bestFit="1" customWidth="1"/>
    <col min="72" max="72" width="27.83203125" bestFit="1" customWidth="1"/>
    <col min="73" max="73" width="34.6640625" bestFit="1" customWidth="1"/>
    <col min="74" max="74" width="29.6640625" bestFit="1" customWidth="1"/>
    <col min="75" max="75" width="27.83203125" bestFit="1" customWidth="1"/>
    <col min="76" max="76" width="34.6640625" bestFit="1" customWidth="1"/>
    <col min="77" max="77" width="17.5" bestFit="1" customWidth="1"/>
  </cols>
  <sheetData>
    <row r="3" spans="2:81" ht="14.5" customHeight="1" x14ac:dyDescent="0.45">
      <c r="O3" s="1"/>
      <c r="P3" s="1"/>
      <c r="Q3" s="1"/>
      <c r="R3" s="1"/>
      <c r="S3" s="1"/>
      <c r="T3" s="25" t="s">
        <v>0</v>
      </c>
      <c r="U3" s="25"/>
      <c r="V3" s="25"/>
      <c r="W3" s="1"/>
      <c r="X3" s="1"/>
      <c r="Y3" s="1"/>
      <c r="Z3" s="1"/>
      <c r="AA3" s="1"/>
      <c r="AB3" s="1"/>
      <c r="AC3" s="1"/>
      <c r="AD3" s="1"/>
      <c r="AK3" s="26" t="s">
        <v>1</v>
      </c>
      <c r="AL3" s="26"/>
      <c r="AM3" s="18"/>
    </row>
    <row r="4" spans="2:81" ht="14.5" customHeight="1" x14ac:dyDescent="0.45">
      <c r="O4" s="1"/>
      <c r="P4" s="1"/>
      <c r="Q4" s="1"/>
      <c r="R4" s="1"/>
      <c r="S4" s="1"/>
      <c r="T4" s="25"/>
      <c r="U4" s="25"/>
      <c r="V4" s="25"/>
      <c r="W4" s="1"/>
      <c r="X4" s="1"/>
      <c r="Y4" s="1"/>
      <c r="Z4" s="1"/>
      <c r="AA4" s="1"/>
      <c r="AB4" s="1"/>
      <c r="AC4" s="1"/>
      <c r="AD4" s="1"/>
      <c r="AK4" s="26"/>
      <c r="AL4" s="26"/>
      <c r="AM4" s="18"/>
    </row>
    <row r="5" spans="2:81" ht="18" customHeight="1" x14ac:dyDescent="0.45">
      <c r="D5" s="24"/>
      <c r="E5" s="24"/>
      <c r="O5" s="1"/>
      <c r="P5" s="1"/>
      <c r="Q5" s="1"/>
      <c r="R5" s="1"/>
      <c r="S5" s="1"/>
      <c r="T5" s="25"/>
      <c r="U5" s="25"/>
      <c r="V5" s="25"/>
      <c r="W5" s="1"/>
      <c r="X5" s="1"/>
      <c r="Y5" s="1"/>
      <c r="Z5" s="1"/>
      <c r="AA5" s="1"/>
      <c r="AB5" s="1"/>
      <c r="AC5" s="1"/>
      <c r="AD5" s="1"/>
      <c r="AK5" s="26"/>
      <c r="AL5" s="26"/>
      <c r="AM5" s="18"/>
    </row>
    <row r="6" spans="2:81" x14ac:dyDescent="0.2"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BJ6" s="26" t="s">
        <v>2</v>
      </c>
      <c r="BK6" s="26"/>
      <c r="BL6" s="26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2:81" x14ac:dyDescent="0.2"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BJ7" s="26"/>
      <c r="BK7" s="26"/>
      <c r="BL7" s="26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2:81" ht="18" x14ac:dyDescent="0.2">
      <c r="C8" s="24"/>
      <c r="D8" s="24"/>
      <c r="E8" s="24"/>
      <c r="F8" s="1"/>
      <c r="O8" s="1"/>
      <c r="P8" s="1"/>
      <c r="Q8" s="1"/>
      <c r="R8" s="8" t="s">
        <v>3</v>
      </c>
      <c r="S8" s="8" t="s">
        <v>4</v>
      </c>
      <c r="T8" s="8" t="s">
        <v>5</v>
      </c>
      <c r="U8" s="8" t="s">
        <v>6</v>
      </c>
      <c r="V8" s="8" t="s">
        <v>7</v>
      </c>
      <c r="W8" s="8" t="s">
        <v>8</v>
      </c>
      <c r="X8" s="8" t="s">
        <v>9</v>
      </c>
      <c r="Y8" s="8" t="s">
        <v>10</v>
      </c>
      <c r="Z8" s="8" t="s">
        <v>11</v>
      </c>
      <c r="AA8" s="8" t="s">
        <v>12</v>
      </c>
      <c r="AB8" s="8" t="s">
        <v>13</v>
      </c>
      <c r="AC8" s="8" t="s">
        <v>14</v>
      </c>
      <c r="AD8" s="8" t="s">
        <v>15</v>
      </c>
      <c r="AJ8" s="8" t="s">
        <v>3</v>
      </c>
      <c r="AK8" s="8" t="s">
        <v>4</v>
      </c>
      <c r="AL8" s="8" t="s">
        <v>5</v>
      </c>
      <c r="AM8" s="8" t="s">
        <v>16</v>
      </c>
      <c r="AN8" s="8" t="s">
        <v>17</v>
      </c>
      <c r="AO8" s="8" t="s">
        <v>18</v>
      </c>
      <c r="AP8" s="8" t="s">
        <v>19</v>
      </c>
      <c r="AQ8" s="8" t="s">
        <v>20</v>
      </c>
      <c r="AR8" s="8" t="s">
        <v>21</v>
      </c>
      <c r="AS8" s="8" t="s">
        <v>22</v>
      </c>
      <c r="AT8" s="8" t="s">
        <v>23</v>
      </c>
      <c r="AU8" s="8" t="s">
        <v>24</v>
      </c>
      <c r="AV8" s="8" t="s">
        <v>25</v>
      </c>
      <c r="AW8" s="8" t="s">
        <v>26</v>
      </c>
      <c r="AX8" s="8" t="s">
        <v>27</v>
      </c>
      <c r="AY8" s="8" t="s">
        <v>28</v>
      </c>
      <c r="AZ8" s="8" t="s">
        <v>29</v>
      </c>
      <c r="BA8" s="8" t="s">
        <v>30</v>
      </c>
      <c r="BB8" s="8" t="s">
        <v>31</v>
      </c>
      <c r="BC8" s="8" t="s">
        <v>32</v>
      </c>
      <c r="BD8" s="8" t="s">
        <v>14</v>
      </c>
      <c r="BE8" s="8" t="s">
        <v>33</v>
      </c>
      <c r="BJ8" s="26"/>
      <c r="BK8" s="26"/>
      <c r="BL8" s="26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2:81" ht="20" x14ac:dyDescent="0.2">
      <c r="B9">
        <v>1</v>
      </c>
      <c r="C9" s="24"/>
      <c r="D9" s="24"/>
      <c r="E9" s="24"/>
      <c r="O9" s="1"/>
      <c r="P9" s="1"/>
      <c r="Q9" s="1"/>
      <c r="R9" s="9">
        <v>1</v>
      </c>
      <c r="S9" s="9">
        <v>431</v>
      </c>
      <c r="T9" s="9" t="s">
        <v>34</v>
      </c>
      <c r="U9" s="9">
        <v>70</v>
      </c>
      <c r="V9" s="9">
        <v>68</v>
      </c>
      <c r="W9" s="9">
        <v>135</v>
      </c>
      <c r="X9" s="9">
        <v>75</v>
      </c>
      <c r="Y9" s="9">
        <v>64.599999999999994</v>
      </c>
      <c r="Z9" s="9">
        <v>84.1</v>
      </c>
      <c r="AA9" s="9">
        <v>316.7</v>
      </c>
      <c r="AB9" s="9">
        <v>100</v>
      </c>
      <c r="AC9" s="9">
        <v>-4</v>
      </c>
      <c r="AD9" s="9">
        <v>909.5</v>
      </c>
      <c r="AJ9" s="9">
        <v>1</v>
      </c>
      <c r="AK9" s="9">
        <v>431</v>
      </c>
      <c r="AL9" s="9" t="s">
        <v>34</v>
      </c>
      <c r="AM9" s="9">
        <v>4.8479999999999999</v>
      </c>
      <c r="AN9" s="9">
        <v>4.7089999999999996</v>
      </c>
      <c r="AO9" s="9"/>
      <c r="AP9" s="9">
        <v>4.7779999999999996</v>
      </c>
      <c r="AQ9" s="9">
        <v>4.6509999999999998</v>
      </c>
      <c r="AR9" s="9">
        <v>4.5750000000000002</v>
      </c>
      <c r="AS9" s="9"/>
      <c r="AT9" s="9">
        <v>4.6130000000000004</v>
      </c>
      <c r="AU9" s="9">
        <v>5.0730000000000004</v>
      </c>
      <c r="AV9" s="9">
        <v>5.1079999999999997</v>
      </c>
      <c r="AW9" s="9"/>
      <c r="AX9" s="9">
        <v>5.09</v>
      </c>
      <c r="AY9" s="9">
        <v>4.87</v>
      </c>
      <c r="AZ9" s="9">
        <v>4.835</v>
      </c>
      <c r="BA9" s="9"/>
      <c r="BB9" s="9">
        <v>4.8520000000000003</v>
      </c>
      <c r="BC9" s="9">
        <v>4.6130000000000004</v>
      </c>
      <c r="BD9" s="9"/>
      <c r="BE9" s="9">
        <v>75</v>
      </c>
      <c r="BJ9" s="2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2:81" ht="18" x14ac:dyDescent="0.2">
      <c r="B10">
        <v>2</v>
      </c>
      <c r="C10" s="24"/>
      <c r="D10" s="24"/>
      <c r="E10" s="24"/>
      <c r="O10" s="1"/>
      <c r="P10" s="1"/>
      <c r="Q10" s="1"/>
      <c r="R10" s="9">
        <v>2</v>
      </c>
      <c r="S10" s="9">
        <v>426</v>
      </c>
      <c r="T10" s="9" t="s">
        <v>35</v>
      </c>
      <c r="U10" s="9">
        <v>54.3</v>
      </c>
      <c r="V10" s="9">
        <v>73.8</v>
      </c>
      <c r="W10" s="9">
        <v>150</v>
      </c>
      <c r="X10" s="9">
        <v>68.599999999999994</v>
      </c>
      <c r="Y10" s="9">
        <v>75</v>
      </c>
      <c r="Z10" s="9">
        <v>100</v>
      </c>
      <c r="AA10" s="9">
        <v>325</v>
      </c>
      <c r="AB10" s="9">
        <v>43.7</v>
      </c>
      <c r="AC10" s="9"/>
      <c r="AD10" s="9">
        <v>890.4</v>
      </c>
      <c r="AJ10" s="9">
        <v>2</v>
      </c>
      <c r="AK10" s="9">
        <v>426</v>
      </c>
      <c r="AL10" s="9" t="s">
        <v>35</v>
      </c>
      <c r="AM10" s="9">
        <v>5.258</v>
      </c>
      <c r="AN10" s="9">
        <v>4.7859999999999996</v>
      </c>
      <c r="AO10" s="9"/>
      <c r="AP10" s="9">
        <v>5.0220000000000002</v>
      </c>
      <c r="AQ10" s="9">
        <v>4.8369999999999997</v>
      </c>
      <c r="AR10" s="9">
        <v>4.92</v>
      </c>
      <c r="AS10" s="9"/>
      <c r="AT10" s="9">
        <v>4.8780000000000001</v>
      </c>
      <c r="AU10" s="9">
        <v>4.8159999999999998</v>
      </c>
      <c r="AV10" s="9">
        <v>4.7110000000000003</v>
      </c>
      <c r="AW10" s="9"/>
      <c r="AX10" s="9">
        <v>4.7629999999999999</v>
      </c>
      <c r="AY10" s="9">
        <v>4.774</v>
      </c>
      <c r="AZ10" s="9">
        <v>4.6070000000000002</v>
      </c>
      <c r="BA10" s="9"/>
      <c r="BB10" s="9">
        <v>4.6900000000000004</v>
      </c>
      <c r="BC10" s="9">
        <v>4.6900000000000004</v>
      </c>
      <c r="BD10" s="9"/>
      <c r="BE10" s="9">
        <v>68.599999999999994</v>
      </c>
      <c r="BJ10" s="8" t="s">
        <v>3</v>
      </c>
      <c r="BK10" s="8" t="s">
        <v>4</v>
      </c>
      <c r="BL10" s="8" t="s">
        <v>5</v>
      </c>
      <c r="BM10" s="8" t="s">
        <v>36</v>
      </c>
      <c r="BN10" s="8" t="s">
        <v>18</v>
      </c>
      <c r="BO10" s="8" t="s">
        <v>19</v>
      </c>
      <c r="BP10" s="8" t="s">
        <v>37</v>
      </c>
      <c r="BQ10" s="8" t="s">
        <v>22</v>
      </c>
      <c r="BR10" s="8" t="s">
        <v>23</v>
      </c>
      <c r="BS10" s="8" t="s">
        <v>38</v>
      </c>
      <c r="BT10" s="8" t="s">
        <v>26</v>
      </c>
      <c r="BU10" s="8" t="s">
        <v>27</v>
      </c>
      <c r="BV10" s="8" t="s">
        <v>39</v>
      </c>
      <c r="BW10" s="8" t="s">
        <v>30</v>
      </c>
      <c r="BX10" s="8" t="s">
        <v>31</v>
      </c>
      <c r="BY10" s="8" t="s">
        <v>32</v>
      </c>
      <c r="BZ10" s="8" t="s">
        <v>14</v>
      </c>
      <c r="CA10" s="8" t="s">
        <v>33</v>
      </c>
      <c r="CB10" s="1"/>
      <c r="CC10" s="1"/>
    </row>
    <row r="11" spans="2:81" ht="18" x14ac:dyDescent="0.2">
      <c r="B11">
        <v>3</v>
      </c>
      <c r="C11" s="24"/>
      <c r="D11" s="24"/>
      <c r="E11" s="24"/>
      <c r="O11" s="1"/>
      <c r="P11" s="1"/>
      <c r="Q11" s="1"/>
      <c r="R11" s="9">
        <v>3</v>
      </c>
      <c r="S11" s="9">
        <v>477</v>
      </c>
      <c r="T11" s="9" t="s">
        <v>40</v>
      </c>
      <c r="U11" s="9">
        <v>61.6</v>
      </c>
      <c r="V11" s="9">
        <v>92</v>
      </c>
      <c r="W11" s="9">
        <v>110</v>
      </c>
      <c r="X11" s="9">
        <v>59.7</v>
      </c>
      <c r="Y11" s="9">
        <v>70.3</v>
      </c>
      <c r="Z11" s="9">
        <v>52.8</v>
      </c>
      <c r="AA11" s="9">
        <v>279.60000000000002</v>
      </c>
      <c r="AB11" s="9">
        <v>56.5</v>
      </c>
      <c r="AC11" s="9">
        <v>-15</v>
      </c>
      <c r="AD11" s="9">
        <v>767.5</v>
      </c>
      <c r="AJ11" s="9">
        <v>3</v>
      </c>
      <c r="AK11" s="9">
        <v>477</v>
      </c>
      <c r="AL11" s="9" t="s">
        <v>40</v>
      </c>
      <c r="AM11" s="9">
        <v>4.915</v>
      </c>
      <c r="AN11" s="9">
        <v>4.8890000000000002</v>
      </c>
      <c r="AO11" s="9"/>
      <c r="AP11" s="9">
        <v>4.9020000000000001</v>
      </c>
      <c r="AQ11" s="9">
        <v>4.915</v>
      </c>
      <c r="AR11" s="9">
        <v>4.6920000000000002</v>
      </c>
      <c r="AS11" s="9"/>
      <c r="AT11" s="9">
        <v>4.8029999999999999</v>
      </c>
      <c r="AU11" s="9" t="s">
        <v>41</v>
      </c>
      <c r="AV11" s="9" t="s">
        <v>41</v>
      </c>
      <c r="AW11" s="9"/>
      <c r="AX11" s="9" t="s">
        <v>41</v>
      </c>
      <c r="AY11" s="9" t="s">
        <v>41</v>
      </c>
      <c r="AZ11" s="9" t="s">
        <v>41</v>
      </c>
      <c r="BA11" s="9"/>
      <c r="BB11" s="9" t="s">
        <v>41</v>
      </c>
      <c r="BC11" s="9">
        <v>4.8029999999999999</v>
      </c>
      <c r="BD11" s="9"/>
      <c r="BE11" s="9">
        <v>59.7</v>
      </c>
      <c r="BJ11" s="9">
        <v>1</v>
      </c>
      <c r="BK11" s="9">
        <v>426</v>
      </c>
      <c r="BL11" s="9" t="s">
        <v>35</v>
      </c>
      <c r="BM11" s="9">
        <v>3.3010000000000002</v>
      </c>
      <c r="BN11" s="9"/>
      <c r="BO11" s="9">
        <v>3.3010000000000002</v>
      </c>
      <c r="BP11" s="9">
        <v>3.2589999999999999</v>
      </c>
      <c r="BQ11" s="9"/>
      <c r="BR11" s="9">
        <v>3.2589999999999999</v>
      </c>
      <c r="BS11" s="9">
        <v>3.306</v>
      </c>
      <c r="BT11" s="9"/>
      <c r="BU11" s="9">
        <v>3.306</v>
      </c>
      <c r="BV11" s="9">
        <v>3.294</v>
      </c>
      <c r="BW11" s="9"/>
      <c r="BX11" s="9">
        <v>3.294</v>
      </c>
      <c r="BY11" s="9">
        <v>3.2589999999999999</v>
      </c>
      <c r="BZ11" s="9"/>
      <c r="CA11" s="9">
        <v>75</v>
      </c>
      <c r="CB11" s="1"/>
      <c r="CC11" s="1"/>
    </row>
    <row r="12" spans="2:81" ht="18" x14ac:dyDescent="0.2">
      <c r="B12">
        <v>4</v>
      </c>
      <c r="C12" s="24"/>
      <c r="D12" s="24"/>
      <c r="E12" s="24"/>
      <c r="O12" s="1"/>
      <c r="P12" s="1"/>
      <c r="Q12" s="1"/>
      <c r="R12" s="9">
        <v>4</v>
      </c>
      <c r="S12" s="9">
        <v>94</v>
      </c>
      <c r="T12" s="9" t="s">
        <v>42</v>
      </c>
      <c r="U12" s="9">
        <v>47</v>
      </c>
      <c r="V12" s="9">
        <v>100</v>
      </c>
      <c r="W12" s="9">
        <v>130</v>
      </c>
      <c r="X12" s="9">
        <v>50.3</v>
      </c>
      <c r="Y12" s="9">
        <v>74.5</v>
      </c>
      <c r="Z12" s="9">
        <v>92.7</v>
      </c>
      <c r="AA12" s="9"/>
      <c r="AB12" s="9"/>
      <c r="AC12" s="9"/>
      <c r="AD12" s="9">
        <v>494.5</v>
      </c>
      <c r="AJ12" s="9">
        <v>4</v>
      </c>
      <c r="AK12" s="9">
        <v>450</v>
      </c>
      <c r="AL12" s="9" t="s">
        <v>43</v>
      </c>
      <c r="AM12" s="9">
        <v>5.1479999999999997</v>
      </c>
      <c r="AN12" s="9">
        <v>4.9329999999999998</v>
      </c>
      <c r="AO12" s="9">
        <v>1</v>
      </c>
      <c r="AP12" s="9">
        <v>5.24</v>
      </c>
      <c r="AQ12" s="9">
        <v>4.9989999999999997</v>
      </c>
      <c r="AR12" s="9">
        <v>4.7699999999999996</v>
      </c>
      <c r="AS12" s="9"/>
      <c r="AT12" s="9">
        <v>4.8840000000000003</v>
      </c>
      <c r="AU12" s="9" t="s">
        <v>41</v>
      </c>
      <c r="AV12" s="9" t="s">
        <v>41</v>
      </c>
      <c r="AW12" s="9"/>
      <c r="AX12" s="9" t="s">
        <v>41</v>
      </c>
      <c r="AY12" s="9" t="s">
        <v>41</v>
      </c>
      <c r="AZ12" s="9" t="s">
        <v>41</v>
      </c>
      <c r="BA12" s="9"/>
      <c r="BB12" s="9" t="s">
        <v>41</v>
      </c>
      <c r="BC12" s="9">
        <v>4.8840000000000003</v>
      </c>
      <c r="BD12" s="9"/>
      <c r="BE12" s="9">
        <v>53.6</v>
      </c>
      <c r="BJ12" s="9">
        <v>2</v>
      </c>
      <c r="BK12" s="9">
        <v>94</v>
      </c>
      <c r="BL12" s="9" t="s">
        <v>42</v>
      </c>
      <c r="BM12" s="9">
        <v>3.3420000000000001</v>
      </c>
      <c r="BN12" s="9"/>
      <c r="BO12" s="9">
        <v>3.3420000000000001</v>
      </c>
      <c r="BP12" s="9">
        <v>3.7389999999999999</v>
      </c>
      <c r="BQ12" s="9"/>
      <c r="BR12" s="9">
        <v>3.7389999999999999</v>
      </c>
      <c r="BS12" s="9">
        <v>3.282</v>
      </c>
      <c r="BT12" s="9"/>
      <c r="BU12" s="9">
        <v>3.282</v>
      </c>
      <c r="BV12" s="9">
        <v>3.2669999999999999</v>
      </c>
      <c r="BW12" s="9"/>
      <c r="BX12" s="9">
        <v>3.2669999999999999</v>
      </c>
      <c r="BY12" s="9">
        <v>3.2669999999999999</v>
      </c>
      <c r="BZ12" s="9"/>
      <c r="CA12" s="9">
        <v>74.5</v>
      </c>
      <c r="CB12" s="1"/>
      <c r="CC12" s="1"/>
    </row>
    <row r="13" spans="2:81" ht="18" x14ac:dyDescent="0.2">
      <c r="B13">
        <v>5</v>
      </c>
      <c r="C13" s="24"/>
      <c r="D13" s="24"/>
      <c r="E13" s="24"/>
      <c r="O13" s="1"/>
      <c r="P13" s="1"/>
      <c r="Q13" s="1"/>
      <c r="R13" s="9">
        <v>5</v>
      </c>
      <c r="S13" s="9">
        <v>125</v>
      </c>
      <c r="T13" s="9" t="s">
        <v>44</v>
      </c>
      <c r="U13" s="9">
        <v>52.5</v>
      </c>
      <c r="V13" s="9">
        <v>63.8</v>
      </c>
      <c r="W13" s="9">
        <v>98</v>
      </c>
      <c r="X13" s="9"/>
      <c r="Y13" s="9">
        <v>14.9</v>
      </c>
      <c r="Z13" s="9">
        <v>18.399999999999999</v>
      </c>
      <c r="AA13" s="9">
        <v>166.3</v>
      </c>
      <c r="AB13" s="9">
        <v>13.2</v>
      </c>
      <c r="AC13" s="9">
        <v>-1</v>
      </c>
      <c r="AD13" s="9">
        <v>428.1</v>
      </c>
      <c r="AJ13" s="9">
        <v>5</v>
      </c>
      <c r="AK13" s="9">
        <v>94</v>
      </c>
      <c r="AL13" s="9" t="s">
        <v>42</v>
      </c>
      <c r="AM13" s="9">
        <v>5.0449999999999999</v>
      </c>
      <c r="AN13" s="9">
        <v>4.8170000000000002</v>
      </c>
      <c r="AO13" s="9"/>
      <c r="AP13" s="9">
        <v>4.931</v>
      </c>
      <c r="AQ13" s="9">
        <v>5.2990000000000004</v>
      </c>
      <c r="AR13" s="9">
        <v>5.0060000000000002</v>
      </c>
      <c r="AS13" s="9"/>
      <c r="AT13" s="9">
        <v>5.1520000000000001</v>
      </c>
      <c r="AU13" s="9" t="s">
        <v>41</v>
      </c>
      <c r="AV13" s="9" t="s">
        <v>41</v>
      </c>
      <c r="AW13" s="9"/>
      <c r="AX13" s="9" t="s">
        <v>41</v>
      </c>
      <c r="AY13" s="9" t="s">
        <v>41</v>
      </c>
      <c r="AZ13" s="9" t="s">
        <v>41</v>
      </c>
      <c r="BA13" s="9"/>
      <c r="BB13" s="9" t="s">
        <v>41</v>
      </c>
      <c r="BC13" s="9">
        <v>4.931</v>
      </c>
      <c r="BD13" s="9"/>
      <c r="BE13" s="9">
        <v>50.3</v>
      </c>
      <c r="BJ13" s="9">
        <v>3</v>
      </c>
      <c r="BK13" s="9">
        <v>477</v>
      </c>
      <c r="BL13" s="9" t="s">
        <v>40</v>
      </c>
      <c r="BM13" s="9">
        <v>3.411</v>
      </c>
      <c r="BN13" s="9"/>
      <c r="BO13" s="9">
        <v>3.411</v>
      </c>
      <c r="BP13" s="9">
        <v>3.4159999999999999</v>
      </c>
      <c r="BQ13" s="9"/>
      <c r="BR13" s="9">
        <v>3.4159999999999999</v>
      </c>
      <c r="BS13" s="9">
        <v>3.3359999999999999</v>
      </c>
      <c r="BT13" s="9"/>
      <c r="BU13" s="9">
        <v>3.3359999999999999</v>
      </c>
      <c r="BV13" s="9"/>
      <c r="BW13" s="9"/>
      <c r="BX13" s="9"/>
      <c r="BY13" s="9">
        <v>3.33</v>
      </c>
      <c r="BZ13" s="9"/>
      <c r="CA13" s="9">
        <v>70.3</v>
      </c>
      <c r="CB13" s="1"/>
      <c r="CC13" s="1"/>
    </row>
    <row r="14" spans="2:81" ht="18" x14ac:dyDescent="0.2">
      <c r="B14">
        <v>6</v>
      </c>
      <c r="C14" s="24"/>
      <c r="D14" s="24"/>
      <c r="E14" s="24"/>
      <c r="O14" s="1"/>
      <c r="P14" s="1"/>
      <c r="Q14" s="1"/>
      <c r="R14" s="9">
        <v>6</v>
      </c>
      <c r="S14" s="9">
        <v>450</v>
      </c>
      <c r="T14" s="9" t="s">
        <v>43</v>
      </c>
      <c r="U14" s="9">
        <v>74</v>
      </c>
      <c r="V14" s="9">
        <v>92</v>
      </c>
      <c r="W14" s="9">
        <v>120</v>
      </c>
      <c r="X14" s="9">
        <v>53.6</v>
      </c>
      <c r="Y14" s="9">
        <v>54.7</v>
      </c>
      <c r="Z14" s="9"/>
      <c r="AA14" s="9">
        <v>383.3</v>
      </c>
      <c r="AB14" s="9"/>
      <c r="AC14" s="9">
        <v>-11</v>
      </c>
      <c r="AD14" s="9">
        <v>383.3</v>
      </c>
      <c r="AJ14" s="9">
        <v>6</v>
      </c>
      <c r="AK14" s="9">
        <v>411</v>
      </c>
      <c r="AL14" s="9" t="s">
        <v>45</v>
      </c>
      <c r="AM14" s="9">
        <v>5.0460000000000003</v>
      </c>
      <c r="AN14" s="9">
        <v>5.3879999999999999</v>
      </c>
      <c r="AO14" s="9"/>
      <c r="AP14" s="9">
        <v>5.2169999999999996</v>
      </c>
      <c r="AQ14" s="9">
        <v>5.0430000000000001</v>
      </c>
      <c r="AR14" s="9">
        <v>5.0999999999999996</v>
      </c>
      <c r="AS14" s="9"/>
      <c r="AT14" s="9">
        <v>5.0709999999999997</v>
      </c>
      <c r="AU14" s="9" t="s">
        <v>41</v>
      </c>
      <c r="AV14" s="9" t="s">
        <v>41</v>
      </c>
      <c r="AW14" s="9"/>
      <c r="AX14" s="9" t="s">
        <v>41</v>
      </c>
      <c r="AY14" s="9" t="s">
        <v>41</v>
      </c>
      <c r="AZ14" s="9" t="s">
        <v>41</v>
      </c>
      <c r="BA14" s="9"/>
      <c r="BB14" s="9" t="s">
        <v>41</v>
      </c>
      <c r="BC14" s="9">
        <v>5.0709999999999997</v>
      </c>
      <c r="BD14" s="9"/>
      <c r="BE14" s="9">
        <v>40.9</v>
      </c>
      <c r="BJ14" s="9">
        <v>4</v>
      </c>
      <c r="BK14" s="9">
        <v>431</v>
      </c>
      <c r="BL14" s="9" t="s">
        <v>34</v>
      </c>
      <c r="BM14" s="9">
        <v>3.4590000000000001</v>
      </c>
      <c r="BN14" s="9"/>
      <c r="BO14" s="9">
        <v>3.4590000000000001</v>
      </c>
      <c r="BP14" s="9">
        <v>3.4249999999999998</v>
      </c>
      <c r="BQ14" s="9"/>
      <c r="BR14" s="9">
        <v>3.4249999999999998</v>
      </c>
      <c r="BS14" s="9">
        <v>3.431</v>
      </c>
      <c r="BT14" s="9"/>
      <c r="BU14" s="9">
        <v>3.431</v>
      </c>
      <c r="BV14" s="9">
        <v>3.427</v>
      </c>
      <c r="BW14" s="9"/>
      <c r="BX14" s="9">
        <v>3.427</v>
      </c>
      <c r="BY14" s="9">
        <v>3.4249999999999998</v>
      </c>
      <c r="BZ14" s="9"/>
      <c r="CA14" s="9">
        <v>64.599999999999994</v>
      </c>
      <c r="CB14" s="1"/>
      <c r="CC14" s="1"/>
    </row>
    <row r="15" spans="2:81" ht="18" x14ac:dyDescent="0.2">
      <c r="B15">
        <v>7</v>
      </c>
      <c r="C15" s="24"/>
      <c r="D15" s="24"/>
      <c r="E15" s="24"/>
      <c r="O15" s="1"/>
      <c r="P15" s="1"/>
      <c r="Q15" s="1"/>
      <c r="R15" s="9">
        <v>7</v>
      </c>
      <c r="S15" s="9">
        <v>48</v>
      </c>
      <c r="T15" s="9" t="s">
        <v>46</v>
      </c>
      <c r="U15" s="9">
        <v>58.8</v>
      </c>
      <c r="V15" s="9">
        <v>71.7</v>
      </c>
      <c r="W15" s="9">
        <v>102</v>
      </c>
      <c r="X15" s="9">
        <v>36.6</v>
      </c>
      <c r="Y15" s="9">
        <v>38.700000000000003</v>
      </c>
      <c r="Z15" s="9">
        <v>5</v>
      </c>
      <c r="AA15" s="9">
        <v>49.5</v>
      </c>
      <c r="AB15" s="9"/>
      <c r="AC15" s="9">
        <v>-5</v>
      </c>
      <c r="AD15" s="9">
        <v>357.4</v>
      </c>
      <c r="AJ15" s="9">
        <v>7</v>
      </c>
      <c r="AK15" s="9">
        <v>48</v>
      </c>
      <c r="AL15" s="9" t="s">
        <v>46</v>
      </c>
      <c r="AM15" s="9">
        <v>5.3380000000000001</v>
      </c>
      <c r="AN15" s="9">
        <v>5.085</v>
      </c>
      <c r="AO15" s="9"/>
      <c r="AP15" s="9">
        <v>5.2110000000000003</v>
      </c>
      <c r="AQ15" s="9">
        <v>5.0999999999999996</v>
      </c>
      <c r="AR15" s="9">
        <v>5.1130000000000004</v>
      </c>
      <c r="AS15" s="9"/>
      <c r="AT15" s="9">
        <v>5.1390000000000002</v>
      </c>
      <c r="AU15" s="9">
        <v>5.6449999999999996</v>
      </c>
      <c r="AV15" s="9">
        <v>5.2309999999999999</v>
      </c>
      <c r="AW15" s="9"/>
      <c r="AX15" s="9">
        <v>5.4379999999999997</v>
      </c>
      <c r="AY15" s="9">
        <v>5.3869999999999996</v>
      </c>
      <c r="AZ15" s="9">
        <v>5.25</v>
      </c>
      <c r="BA15" s="9"/>
      <c r="BB15" s="9">
        <v>5.3179999999999996</v>
      </c>
      <c r="BC15" s="9">
        <v>5.1390000000000002</v>
      </c>
      <c r="BD15" s="9"/>
      <c r="BE15" s="9">
        <v>36.6</v>
      </c>
      <c r="BJ15" s="9">
        <v>5</v>
      </c>
      <c r="BK15" s="9">
        <v>450</v>
      </c>
      <c r="BL15" s="9" t="s">
        <v>43</v>
      </c>
      <c r="BM15" s="9">
        <v>3.6190000000000002</v>
      </c>
      <c r="BN15" s="9"/>
      <c r="BO15" s="9">
        <v>3.6190000000000002</v>
      </c>
      <c r="BP15" s="9">
        <v>3.6019999999999999</v>
      </c>
      <c r="BQ15" s="9"/>
      <c r="BR15" s="9">
        <v>3.6019999999999999</v>
      </c>
      <c r="BS15" s="9">
        <v>3.6539999999999999</v>
      </c>
      <c r="BT15" s="9"/>
      <c r="BU15" s="9">
        <v>3.6539999999999999</v>
      </c>
      <c r="BV15" s="9">
        <v>3.6520000000000001</v>
      </c>
      <c r="BW15" s="9"/>
      <c r="BX15" s="9">
        <v>3.6520000000000001</v>
      </c>
      <c r="BY15" s="9">
        <v>3.6019999999999999</v>
      </c>
      <c r="BZ15" s="9"/>
      <c r="CA15" s="9">
        <v>54.7</v>
      </c>
      <c r="CB15" s="1"/>
      <c r="CC15" s="1"/>
    </row>
    <row r="16" spans="2:81" ht="18" x14ac:dyDescent="0.2">
      <c r="B16">
        <v>8</v>
      </c>
      <c r="C16" s="24"/>
      <c r="D16" s="24"/>
      <c r="E16" s="24"/>
      <c r="O16" s="1"/>
      <c r="P16" s="1"/>
      <c r="Q16" s="1"/>
      <c r="R16" s="9">
        <v>8</v>
      </c>
      <c r="S16" s="9">
        <v>411</v>
      </c>
      <c r="T16" s="9" t="s">
        <v>45</v>
      </c>
      <c r="U16" s="9">
        <v>50.5</v>
      </c>
      <c r="V16" s="9">
        <v>73.8</v>
      </c>
      <c r="W16" s="9">
        <v>97</v>
      </c>
      <c r="X16" s="9">
        <v>40.9</v>
      </c>
      <c r="Y16" s="9">
        <v>43.7</v>
      </c>
      <c r="Z16" s="9"/>
      <c r="AA16" s="9">
        <v>305.89999999999998</v>
      </c>
      <c r="AB16" s="9"/>
      <c r="AC16" s="9"/>
      <c r="AD16" s="9">
        <v>305.89999999999998</v>
      </c>
      <c r="AJ16" s="9">
        <v>8</v>
      </c>
      <c r="AK16" s="9">
        <v>14</v>
      </c>
      <c r="AL16" s="9" t="s">
        <v>47</v>
      </c>
      <c r="AM16" s="9">
        <v>5.6790000000000003</v>
      </c>
      <c r="AN16" s="9">
        <v>5.1909999999999998</v>
      </c>
      <c r="AO16" s="9"/>
      <c r="AP16" s="9">
        <v>5.4349999999999996</v>
      </c>
      <c r="AQ16" s="9">
        <v>5.2270000000000003</v>
      </c>
      <c r="AR16" s="9">
        <v>5.1840000000000002</v>
      </c>
      <c r="AS16" s="9"/>
      <c r="AT16" s="9">
        <v>5.2549999999999999</v>
      </c>
      <c r="AU16" s="9">
        <v>5.2270000000000003</v>
      </c>
      <c r="AV16" s="9">
        <v>5.125</v>
      </c>
      <c r="AW16" s="9"/>
      <c r="AX16" s="9">
        <v>5.1760000000000002</v>
      </c>
      <c r="AY16" s="9">
        <v>5.2930000000000001</v>
      </c>
      <c r="AZ16" s="9">
        <v>5.048</v>
      </c>
      <c r="BA16" s="9"/>
      <c r="BB16" s="9">
        <v>5.17</v>
      </c>
      <c r="BC16" s="9">
        <v>5.17</v>
      </c>
      <c r="BD16" s="9"/>
      <c r="BE16" s="9">
        <v>34.700000000000003</v>
      </c>
      <c r="BJ16" s="9">
        <v>6</v>
      </c>
      <c r="BK16" s="9">
        <v>454</v>
      </c>
      <c r="BL16" s="9" t="s">
        <v>48</v>
      </c>
      <c r="BM16" s="9">
        <v>3.7189999999999999</v>
      </c>
      <c r="BN16" s="9"/>
      <c r="BO16" s="9">
        <v>3.7189999999999999</v>
      </c>
      <c r="BP16" s="9">
        <v>3.7669999999999999</v>
      </c>
      <c r="BQ16" s="9"/>
      <c r="BR16" s="9" t="s">
        <v>49</v>
      </c>
      <c r="BS16" s="9"/>
      <c r="BT16" s="9"/>
      <c r="BU16" s="9" t="s">
        <v>41</v>
      </c>
      <c r="BV16" s="9"/>
      <c r="BW16" s="9"/>
      <c r="BX16" s="9" t="s">
        <v>41</v>
      </c>
      <c r="BY16" s="9">
        <v>3.7189999999999999</v>
      </c>
      <c r="BZ16" s="9"/>
      <c r="CA16" s="9">
        <v>48.6</v>
      </c>
      <c r="CB16" s="1"/>
      <c r="CC16" s="1"/>
    </row>
    <row r="17" spans="2:81" ht="18" x14ac:dyDescent="0.2">
      <c r="B17">
        <v>9</v>
      </c>
      <c r="C17" s="24"/>
      <c r="D17" s="24"/>
      <c r="E17" s="24"/>
      <c r="O17" s="1"/>
      <c r="P17" s="1"/>
      <c r="Q17" s="1"/>
      <c r="R17" s="9">
        <v>9</v>
      </c>
      <c r="S17" s="9">
        <v>14</v>
      </c>
      <c r="T17" s="9" t="s">
        <v>47</v>
      </c>
      <c r="U17" s="9">
        <v>68.400000000000006</v>
      </c>
      <c r="V17" s="9">
        <v>94</v>
      </c>
      <c r="W17" s="9">
        <v>105</v>
      </c>
      <c r="X17" s="9">
        <v>34.700000000000003</v>
      </c>
      <c r="Y17" s="9"/>
      <c r="Z17" s="9">
        <v>5</v>
      </c>
      <c r="AA17" s="9"/>
      <c r="AB17" s="9"/>
      <c r="AC17" s="9">
        <v>-8</v>
      </c>
      <c r="AD17" s="9">
        <v>299</v>
      </c>
      <c r="AJ17" s="9">
        <v>9</v>
      </c>
      <c r="AK17" s="9">
        <v>22</v>
      </c>
      <c r="AL17" s="9" t="s">
        <v>50</v>
      </c>
      <c r="AM17" s="9">
        <v>7.95</v>
      </c>
      <c r="AN17" s="9">
        <v>6.5819999999999999</v>
      </c>
      <c r="AO17" s="9"/>
      <c r="AP17" s="9" t="s">
        <v>49</v>
      </c>
      <c r="AQ17" s="9">
        <v>5.835</v>
      </c>
      <c r="AR17" s="9">
        <v>5.4160000000000004</v>
      </c>
      <c r="AS17" s="9"/>
      <c r="AT17" s="9" t="s">
        <v>49</v>
      </c>
      <c r="AU17" s="9">
        <v>5.431</v>
      </c>
      <c r="AV17" s="9">
        <v>5.2939999999999996</v>
      </c>
      <c r="AW17" s="9"/>
      <c r="AX17" s="9">
        <v>5.3620000000000001</v>
      </c>
      <c r="AY17" s="9">
        <v>5.4720000000000004</v>
      </c>
      <c r="AZ17" s="9">
        <v>5.26</v>
      </c>
      <c r="BA17" s="9"/>
      <c r="BB17" s="9">
        <v>5.3659999999999997</v>
      </c>
      <c r="BC17" s="9">
        <v>5.3620000000000001</v>
      </c>
      <c r="BD17" s="9"/>
      <c r="BE17" s="9">
        <v>23.6</v>
      </c>
      <c r="BJ17" s="9">
        <v>7</v>
      </c>
      <c r="BK17" s="9">
        <v>411</v>
      </c>
      <c r="BL17" s="9" t="s">
        <v>45</v>
      </c>
      <c r="BM17" s="9">
        <v>3.83</v>
      </c>
      <c r="BN17" s="9"/>
      <c r="BO17" s="9">
        <v>3.83</v>
      </c>
      <c r="BP17" s="9">
        <v>3.819</v>
      </c>
      <c r="BQ17" s="9"/>
      <c r="BR17" s="9">
        <v>3.819</v>
      </c>
      <c r="BS17" s="9">
        <v>3.6139999999999999</v>
      </c>
      <c r="BT17" s="9"/>
      <c r="BU17" s="9" t="s">
        <v>49</v>
      </c>
      <c r="BV17" s="9">
        <v>3.6160000000000001</v>
      </c>
      <c r="BW17" s="9"/>
      <c r="BX17" s="9" t="s">
        <v>49</v>
      </c>
      <c r="BY17" s="9">
        <v>3.819</v>
      </c>
      <c r="BZ17" s="9"/>
      <c r="CA17" s="9">
        <v>43.7</v>
      </c>
      <c r="CB17" s="1"/>
      <c r="CC17" s="1"/>
    </row>
    <row r="18" spans="2:81" ht="18" x14ac:dyDescent="0.2">
      <c r="B18">
        <v>10</v>
      </c>
      <c r="C18" s="24"/>
      <c r="D18" s="24"/>
      <c r="E18" s="24"/>
      <c r="O18" s="1"/>
      <c r="P18" s="1"/>
      <c r="Q18" s="1"/>
      <c r="R18" s="9">
        <v>10</v>
      </c>
      <c r="S18" s="9">
        <v>454</v>
      </c>
      <c r="T18" s="9" t="s">
        <v>48</v>
      </c>
      <c r="U18" s="9">
        <v>67.400000000000006</v>
      </c>
      <c r="V18" s="9">
        <v>73.3</v>
      </c>
      <c r="W18" s="9">
        <v>108</v>
      </c>
      <c r="X18" s="9"/>
      <c r="Y18" s="9"/>
      <c r="Z18" s="9"/>
      <c r="AA18" s="9">
        <v>283.3</v>
      </c>
      <c r="AB18" s="9"/>
      <c r="AC18" s="9">
        <v>-14</v>
      </c>
      <c r="AD18" s="9">
        <v>283.3</v>
      </c>
      <c r="AJ18" s="9">
        <v>10</v>
      </c>
      <c r="AK18" s="9">
        <v>427</v>
      </c>
      <c r="AL18" s="9" t="s">
        <v>51</v>
      </c>
      <c r="AM18" s="9">
        <v>5.88</v>
      </c>
      <c r="AN18" s="9">
        <v>5.891</v>
      </c>
      <c r="AO18" s="9">
        <v>1</v>
      </c>
      <c r="AP18" s="9">
        <v>5.98</v>
      </c>
      <c r="AQ18" s="9">
        <v>5.452</v>
      </c>
      <c r="AR18" s="9">
        <v>5.5540000000000003</v>
      </c>
      <c r="AS18" s="9"/>
      <c r="AT18" s="9">
        <v>5.5030000000000001</v>
      </c>
      <c r="AU18" s="9" t="s">
        <v>41</v>
      </c>
      <c r="AV18" s="9" t="s">
        <v>41</v>
      </c>
      <c r="AW18" s="9"/>
      <c r="AX18" s="9" t="s">
        <v>41</v>
      </c>
      <c r="AY18" s="9" t="s">
        <v>41</v>
      </c>
      <c r="AZ18" s="9" t="s">
        <v>41</v>
      </c>
      <c r="BA18" s="9"/>
      <c r="BB18" s="9" t="s">
        <v>41</v>
      </c>
      <c r="BC18" s="9">
        <v>5.5030000000000001</v>
      </c>
      <c r="BD18" s="9"/>
      <c r="BE18" s="9">
        <v>16.2</v>
      </c>
      <c r="BJ18" s="9">
        <v>8</v>
      </c>
      <c r="BK18" s="9">
        <v>165</v>
      </c>
      <c r="BL18" s="9" t="s">
        <v>52</v>
      </c>
      <c r="BM18" s="9">
        <v>4.97</v>
      </c>
      <c r="BN18" s="9"/>
      <c r="BO18" s="9">
        <v>4.97</v>
      </c>
      <c r="BP18" s="9">
        <v>3.9209999999999998</v>
      </c>
      <c r="BQ18" s="9"/>
      <c r="BR18" s="9">
        <v>3.9209999999999998</v>
      </c>
      <c r="BS18" s="9">
        <v>4.0019999999999998</v>
      </c>
      <c r="BT18" s="9"/>
      <c r="BU18" s="9">
        <v>4.0019999999999998</v>
      </c>
      <c r="BV18" s="9">
        <v>4.4710000000000001</v>
      </c>
      <c r="BW18" s="9"/>
      <c r="BX18" s="9">
        <v>4.4710000000000001</v>
      </c>
      <c r="BY18" s="9">
        <v>3.9209999999999998</v>
      </c>
      <c r="BZ18" s="9"/>
      <c r="CA18" s="9">
        <v>38.9</v>
      </c>
      <c r="CB18" s="1"/>
      <c r="CC18" s="1"/>
    </row>
    <row r="19" spans="2:81" ht="18" x14ac:dyDescent="0.2">
      <c r="B19">
        <v>11</v>
      </c>
      <c r="C19" s="24"/>
      <c r="D19" s="24"/>
      <c r="E19" s="24"/>
      <c r="O19" s="1"/>
      <c r="P19" s="1"/>
      <c r="Q19" s="1"/>
      <c r="R19" s="9">
        <v>11</v>
      </c>
      <c r="S19" s="9">
        <v>427</v>
      </c>
      <c r="T19" s="9" t="s">
        <v>51</v>
      </c>
      <c r="U19" s="9">
        <v>59.8</v>
      </c>
      <c r="V19" s="9">
        <v>76.5</v>
      </c>
      <c r="W19" s="9">
        <v>100</v>
      </c>
      <c r="X19" s="9">
        <v>16.2</v>
      </c>
      <c r="Y19" s="9">
        <v>22.6</v>
      </c>
      <c r="Z19" s="9">
        <v>5</v>
      </c>
      <c r="AA19" s="9"/>
      <c r="AB19" s="9"/>
      <c r="AC19" s="9">
        <v>-1</v>
      </c>
      <c r="AD19" s="9">
        <v>279.10000000000002</v>
      </c>
      <c r="AJ19" s="9"/>
      <c r="AK19" s="9">
        <v>2</v>
      </c>
      <c r="AL19" s="9" t="s">
        <v>53</v>
      </c>
      <c r="AM19" s="9" t="s">
        <v>41</v>
      </c>
      <c r="AN19" s="9" t="s">
        <v>41</v>
      </c>
      <c r="AO19" s="9"/>
      <c r="AP19" s="9" t="s">
        <v>41</v>
      </c>
      <c r="AQ19" s="9" t="s">
        <v>41</v>
      </c>
      <c r="AR19" s="9" t="s">
        <v>41</v>
      </c>
      <c r="AS19" s="9"/>
      <c r="AT19" s="9" t="s">
        <v>41</v>
      </c>
      <c r="AU19" s="9" t="s">
        <v>41</v>
      </c>
      <c r="AV19" s="9" t="s">
        <v>41</v>
      </c>
      <c r="AW19" s="9"/>
      <c r="AX19" s="9" t="s">
        <v>41</v>
      </c>
      <c r="AY19" s="9" t="s">
        <v>41</v>
      </c>
      <c r="AZ19" s="9" t="s">
        <v>41</v>
      </c>
      <c r="BA19" s="9"/>
      <c r="BB19" s="9" t="s">
        <v>41</v>
      </c>
      <c r="BC19" s="9" t="s">
        <v>41</v>
      </c>
      <c r="BD19" s="9"/>
      <c r="BE19" s="9">
        <v>0</v>
      </c>
      <c r="BJ19" s="9">
        <v>9</v>
      </c>
      <c r="BK19" s="9">
        <v>48</v>
      </c>
      <c r="BL19" s="9" t="s">
        <v>46</v>
      </c>
      <c r="BM19" s="9">
        <v>4.1529999999999996</v>
      </c>
      <c r="BN19" s="9"/>
      <c r="BO19" s="9">
        <v>4.1529999999999996</v>
      </c>
      <c r="BP19" s="9">
        <v>7.42</v>
      </c>
      <c r="BQ19" s="9"/>
      <c r="BR19" s="9">
        <v>7.42</v>
      </c>
      <c r="BS19" s="9">
        <v>3.9580000000000002</v>
      </c>
      <c r="BT19" s="9"/>
      <c r="BU19" s="9">
        <v>3.9580000000000002</v>
      </c>
      <c r="BV19" s="9">
        <v>3.9249999999999998</v>
      </c>
      <c r="BW19" s="9"/>
      <c r="BX19" s="9">
        <v>3.9249999999999998</v>
      </c>
      <c r="BY19" s="9">
        <v>3.9249999999999998</v>
      </c>
      <c r="BZ19" s="9"/>
      <c r="CA19" s="9">
        <v>38.700000000000003</v>
      </c>
      <c r="CB19" s="1"/>
      <c r="CC19" s="1"/>
    </row>
    <row r="20" spans="2:81" ht="18" x14ac:dyDescent="0.2">
      <c r="B20">
        <v>12</v>
      </c>
      <c r="C20" s="24"/>
      <c r="D20" s="24"/>
      <c r="E20" s="24"/>
      <c r="O20" s="1"/>
      <c r="P20" s="1"/>
      <c r="Q20" s="1"/>
      <c r="R20" s="9">
        <v>12</v>
      </c>
      <c r="S20" s="9">
        <v>492</v>
      </c>
      <c r="T20" s="9" t="s">
        <v>54</v>
      </c>
      <c r="U20" s="9">
        <v>73</v>
      </c>
      <c r="V20" s="9">
        <v>95</v>
      </c>
      <c r="W20" s="9">
        <v>102</v>
      </c>
      <c r="X20" s="9"/>
      <c r="Y20" s="9"/>
      <c r="Z20" s="9">
        <v>3.8</v>
      </c>
      <c r="AA20" s="9"/>
      <c r="AB20" s="9"/>
      <c r="AC20" s="9">
        <v>-2</v>
      </c>
      <c r="AD20" s="9">
        <v>271.8</v>
      </c>
      <c r="AJ20" s="9"/>
      <c r="AK20" s="9">
        <v>5</v>
      </c>
      <c r="AL20" s="9" t="s">
        <v>55</v>
      </c>
      <c r="AM20" s="9" t="s">
        <v>41</v>
      </c>
      <c r="AN20" s="9" t="s">
        <v>41</v>
      </c>
      <c r="AO20" s="9"/>
      <c r="AP20" s="9" t="s">
        <v>41</v>
      </c>
      <c r="AQ20" s="9" t="s">
        <v>41</v>
      </c>
      <c r="AR20" s="9" t="s">
        <v>41</v>
      </c>
      <c r="AS20" s="9"/>
      <c r="AT20" s="9" t="s">
        <v>41</v>
      </c>
      <c r="AU20" s="9" t="s">
        <v>41</v>
      </c>
      <c r="AV20" s="9" t="s">
        <v>41</v>
      </c>
      <c r="AW20" s="9"/>
      <c r="AX20" s="9" t="s">
        <v>41</v>
      </c>
      <c r="AY20" s="9" t="s">
        <v>41</v>
      </c>
      <c r="AZ20" s="9" t="s">
        <v>41</v>
      </c>
      <c r="BA20" s="9"/>
      <c r="BB20" s="9" t="s">
        <v>41</v>
      </c>
      <c r="BC20" s="9" t="s">
        <v>41</v>
      </c>
      <c r="BD20" s="9"/>
      <c r="BE20" s="9">
        <v>0</v>
      </c>
      <c r="BJ20" s="9">
        <v>10</v>
      </c>
      <c r="BK20" s="9">
        <v>427</v>
      </c>
      <c r="BL20" s="9" t="s">
        <v>51</v>
      </c>
      <c r="BM20" s="9">
        <v>4.3280000000000003</v>
      </c>
      <c r="BN20" s="9"/>
      <c r="BO20" s="9">
        <v>4.3280000000000003</v>
      </c>
      <c r="BP20" s="9">
        <v>4.319</v>
      </c>
      <c r="BQ20" s="9"/>
      <c r="BR20" s="9">
        <v>4.319</v>
      </c>
      <c r="BS20" s="9" t="s">
        <v>41</v>
      </c>
      <c r="BT20" s="9"/>
      <c r="BU20" s="9" t="s">
        <v>41</v>
      </c>
      <c r="BV20" s="9"/>
      <c r="BW20" s="9"/>
      <c r="BX20" s="9" t="s">
        <v>41</v>
      </c>
      <c r="BY20" s="9">
        <v>4.319</v>
      </c>
      <c r="BZ20" s="9"/>
      <c r="CA20" s="9">
        <v>22.6</v>
      </c>
      <c r="CB20" s="1"/>
      <c r="CC20" s="1"/>
    </row>
    <row r="21" spans="2:81" ht="18" x14ac:dyDescent="0.2">
      <c r="B21">
        <v>13</v>
      </c>
      <c r="C21" s="24"/>
      <c r="D21" s="24"/>
      <c r="E21" s="24"/>
      <c r="O21" s="1"/>
      <c r="P21" s="1"/>
      <c r="Q21" s="1"/>
      <c r="R21" s="9">
        <v>13</v>
      </c>
      <c r="S21" s="9">
        <v>165</v>
      </c>
      <c r="T21" s="9" t="s">
        <v>52</v>
      </c>
      <c r="U21" s="9">
        <v>68.400000000000006</v>
      </c>
      <c r="V21" s="9">
        <v>65.900000000000006</v>
      </c>
      <c r="W21" s="9">
        <v>86</v>
      </c>
      <c r="X21" s="9"/>
      <c r="Y21" s="9"/>
      <c r="Z21" s="9">
        <v>5</v>
      </c>
      <c r="AA21" s="9"/>
      <c r="AB21" s="9"/>
      <c r="AC21" s="9"/>
      <c r="AD21" s="9">
        <v>264.2</v>
      </c>
      <c r="AJ21" s="9"/>
      <c r="AK21" s="9">
        <v>11</v>
      </c>
      <c r="AL21" s="9" t="s">
        <v>56</v>
      </c>
      <c r="AM21" s="9" t="s">
        <v>41</v>
      </c>
      <c r="AN21" s="9" t="s">
        <v>41</v>
      </c>
      <c r="AO21" s="9"/>
      <c r="AP21" s="9" t="s">
        <v>41</v>
      </c>
      <c r="AQ21" s="9" t="s">
        <v>41</v>
      </c>
      <c r="AR21" s="9" t="s">
        <v>41</v>
      </c>
      <c r="AS21" s="9"/>
      <c r="AT21" s="9" t="s">
        <v>41</v>
      </c>
      <c r="AU21" s="9" t="s">
        <v>41</v>
      </c>
      <c r="AV21" s="9" t="s">
        <v>41</v>
      </c>
      <c r="AW21" s="9"/>
      <c r="AX21" s="9" t="s">
        <v>41</v>
      </c>
      <c r="AY21" s="9" t="s">
        <v>41</v>
      </c>
      <c r="AZ21" s="9" t="s">
        <v>41</v>
      </c>
      <c r="BA21" s="9"/>
      <c r="BB21" s="9" t="s">
        <v>41</v>
      </c>
      <c r="BC21" s="9" t="s">
        <v>41</v>
      </c>
      <c r="BD21" s="9"/>
      <c r="BE21" s="9">
        <v>0</v>
      </c>
      <c r="BJ21" s="9">
        <v>11</v>
      </c>
      <c r="BK21" s="9">
        <v>125</v>
      </c>
      <c r="BL21" s="9" t="s">
        <v>44</v>
      </c>
      <c r="BM21" s="9">
        <v>5.9240000000000004</v>
      </c>
      <c r="BN21" s="9"/>
      <c r="BO21" s="9">
        <v>5.9240000000000004</v>
      </c>
      <c r="BP21" s="9">
        <v>5.3559999999999999</v>
      </c>
      <c r="BQ21" s="9"/>
      <c r="BR21" s="9">
        <v>5.3559999999999999</v>
      </c>
      <c r="BS21" s="9">
        <v>6.9859999999999998</v>
      </c>
      <c r="BT21" s="9"/>
      <c r="BU21" s="9">
        <v>6.9859999999999998</v>
      </c>
      <c r="BV21" s="9">
        <v>4.5330000000000004</v>
      </c>
      <c r="BW21" s="9"/>
      <c r="BX21" s="9">
        <v>4.5330000000000004</v>
      </c>
      <c r="BY21" s="9">
        <v>4.5330000000000004</v>
      </c>
      <c r="BZ21" s="9"/>
      <c r="CA21" s="9">
        <v>14.9</v>
      </c>
      <c r="CB21" s="1"/>
      <c r="CC21" s="1"/>
    </row>
    <row r="22" spans="2:81" ht="18" x14ac:dyDescent="0.2">
      <c r="B22">
        <v>14</v>
      </c>
      <c r="C22" s="24"/>
      <c r="D22" s="24"/>
      <c r="E22" s="24"/>
      <c r="O22" s="1"/>
      <c r="P22" s="1"/>
      <c r="Q22" s="1"/>
      <c r="R22" s="9">
        <v>14</v>
      </c>
      <c r="S22" s="9">
        <v>415</v>
      </c>
      <c r="T22" s="9" t="s">
        <v>57</v>
      </c>
      <c r="U22" s="9">
        <v>68.599999999999994</v>
      </c>
      <c r="V22" s="9">
        <v>79.7</v>
      </c>
      <c r="W22" s="9">
        <v>110</v>
      </c>
      <c r="X22" s="9"/>
      <c r="Y22" s="9"/>
      <c r="Z22" s="9"/>
      <c r="AA22" s="9"/>
      <c r="AB22" s="9"/>
      <c r="AC22" s="9">
        <v>-10</v>
      </c>
      <c r="AD22" s="9">
        <v>248.3</v>
      </c>
      <c r="AJ22" s="9"/>
      <c r="AK22" s="9">
        <v>13</v>
      </c>
      <c r="AL22" s="9" t="s">
        <v>58</v>
      </c>
      <c r="AM22" s="9" t="s">
        <v>41</v>
      </c>
      <c r="AN22" s="9" t="s">
        <v>41</v>
      </c>
      <c r="AO22" s="9"/>
      <c r="AP22" s="9" t="s">
        <v>41</v>
      </c>
      <c r="AQ22" s="9" t="s">
        <v>41</v>
      </c>
      <c r="AR22" s="9" t="s">
        <v>41</v>
      </c>
      <c r="AS22" s="9"/>
      <c r="AT22" s="9" t="s">
        <v>41</v>
      </c>
      <c r="AU22" s="9" t="s">
        <v>41</v>
      </c>
      <c r="AV22" s="9" t="s">
        <v>41</v>
      </c>
      <c r="AW22" s="9"/>
      <c r="AX22" s="9" t="s">
        <v>41</v>
      </c>
      <c r="AY22" s="9" t="s">
        <v>41</v>
      </c>
      <c r="AZ22" s="9" t="s">
        <v>41</v>
      </c>
      <c r="BA22" s="9"/>
      <c r="BB22" s="9" t="s">
        <v>41</v>
      </c>
      <c r="BC22" s="9" t="s">
        <v>41</v>
      </c>
      <c r="BD22" s="9"/>
      <c r="BE22" s="9">
        <v>0</v>
      </c>
      <c r="BJ22" s="9">
        <v>12</v>
      </c>
      <c r="BK22" s="9">
        <v>79</v>
      </c>
      <c r="BL22" s="9" t="s">
        <v>59</v>
      </c>
      <c r="BM22" s="9">
        <v>5.4169999999999998</v>
      </c>
      <c r="BN22" s="9"/>
      <c r="BO22" s="9">
        <v>5.4169999999999998</v>
      </c>
      <c r="BP22" s="9">
        <v>5.7930000000000001</v>
      </c>
      <c r="BQ22" s="9"/>
      <c r="BR22" s="9">
        <v>5.7930000000000001</v>
      </c>
      <c r="BS22" s="9">
        <v>5.7750000000000004</v>
      </c>
      <c r="BT22" s="9"/>
      <c r="BU22" s="9">
        <v>5.7750000000000004</v>
      </c>
      <c r="BV22" s="9">
        <v>5.57</v>
      </c>
      <c r="BW22" s="9"/>
      <c r="BX22" s="9">
        <v>5.57</v>
      </c>
      <c r="BY22" s="9">
        <v>5.4169999999999998</v>
      </c>
      <c r="BZ22" s="9"/>
      <c r="CA22" s="9">
        <v>3.8</v>
      </c>
      <c r="CB22" s="1"/>
      <c r="CC22" s="1"/>
    </row>
    <row r="23" spans="2:81" ht="18" x14ac:dyDescent="0.2">
      <c r="B23">
        <v>15</v>
      </c>
      <c r="C23" s="24"/>
      <c r="D23" s="24"/>
      <c r="E23" s="24"/>
      <c r="O23" s="1"/>
      <c r="P23" s="1"/>
      <c r="Q23" s="1"/>
      <c r="R23" s="9">
        <v>15</v>
      </c>
      <c r="S23" s="9">
        <v>443</v>
      </c>
      <c r="T23" s="9" t="s">
        <v>60</v>
      </c>
      <c r="U23" s="9">
        <v>61.5</v>
      </c>
      <c r="V23" s="9">
        <v>70.099999999999994</v>
      </c>
      <c r="W23" s="9">
        <v>83</v>
      </c>
      <c r="X23" s="9"/>
      <c r="Y23" s="9"/>
      <c r="Z23" s="9">
        <v>5</v>
      </c>
      <c r="AA23" s="9"/>
      <c r="AB23" s="9"/>
      <c r="AC23" s="9"/>
      <c r="AD23" s="9">
        <v>219.6</v>
      </c>
      <c r="AJ23" s="9"/>
      <c r="AK23" s="9">
        <v>18</v>
      </c>
      <c r="AL23" s="9" t="s">
        <v>61</v>
      </c>
      <c r="AM23" s="9" t="s">
        <v>41</v>
      </c>
      <c r="AN23" s="9" t="s">
        <v>41</v>
      </c>
      <c r="AO23" s="9"/>
      <c r="AP23" s="9" t="s">
        <v>41</v>
      </c>
      <c r="AQ23" s="9" t="s">
        <v>41</v>
      </c>
      <c r="AR23" s="9" t="s">
        <v>41</v>
      </c>
      <c r="AS23" s="9"/>
      <c r="AT23" s="9" t="s">
        <v>41</v>
      </c>
      <c r="AU23" s="9" t="s">
        <v>41</v>
      </c>
      <c r="AV23" s="9" t="s">
        <v>41</v>
      </c>
      <c r="AW23" s="9"/>
      <c r="AX23" s="9" t="s">
        <v>41</v>
      </c>
      <c r="AY23" s="9" t="s">
        <v>41</v>
      </c>
      <c r="AZ23" s="9" t="s">
        <v>41</v>
      </c>
      <c r="BA23" s="9"/>
      <c r="BB23" s="9" t="s">
        <v>41</v>
      </c>
      <c r="BC23" s="9" t="s">
        <v>41</v>
      </c>
      <c r="BD23" s="9"/>
      <c r="BE23" s="9">
        <v>0</v>
      </c>
      <c r="BJ23" s="9">
        <v>12</v>
      </c>
      <c r="BK23" s="9">
        <v>13</v>
      </c>
      <c r="BL23" s="9" t="s">
        <v>58</v>
      </c>
      <c r="BM23" s="9">
        <v>5.4219999999999997</v>
      </c>
      <c r="BN23" s="9"/>
      <c r="BO23" s="9" t="s">
        <v>49</v>
      </c>
      <c r="BP23" s="9">
        <v>5.5019999999999998</v>
      </c>
      <c r="BQ23" s="9"/>
      <c r="BR23" s="9">
        <v>5.5019999999999998</v>
      </c>
      <c r="BS23" s="9">
        <v>5.4809999999999999</v>
      </c>
      <c r="BT23" s="9"/>
      <c r="BU23" s="9">
        <v>5.4809999999999999</v>
      </c>
      <c r="BV23" s="9"/>
      <c r="BW23" s="9"/>
      <c r="BX23" s="9" t="s">
        <v>41</v>
      </c>
      <c r="BY23" s="9">
        <v>5.4809999999999999</v>
      </c>
      <c r="BZ23" s="9"/>
      <c r="CA23" s="9">
        <v>3.8</v>
      </c>
      <c r="CB23" s="1"/>
      <c r="CC23" s="1"/>
    </row>
    <row r="24" spans="2:81" ht="18" x14ac:dyDescent="0.2">
      <c r="B24">
        <v>16</v>
      </c>
      <c r="C24" s="24"/>
      <c r="D24" s="24"/>
      <c r="E24" s="24"/>
      <c r="O24" s="1"/>
      <c r="P24" s="1"/>
      <c r="Q24" s="1"/>
      <c r="R24" s="9">
        <v>16</v>
      </c>
      <c r="S24" s="9">
        <v>46</v>
      </c>
      <c r="T24" s="9" t="s">
        <v>62</v>
      </c>
      <c r="U24" s="9">
        <v>72</v>
      </c>
      <c r="V24" s="9">
        <v>65.3</v>
      </c>
      <c r="W24" s="9">
        <v>100</v>
      </c>
      <c r="X24" s="9"/>
      <c r="Y24" s="9"/>
      <c r="Z24" s="9"/>
      <c r="AA24" s="9"/>
      <c r="AB24" s="9"/>
      <c r="AC24" s="9">
        <v>-23</v>
      </c>
      <c r="AD24" s="9">
        <v>214.3</v>
      </c>
      <c r="AJ24" s="9"/>
      <c r="AK24" s="9">
        <v>25</v>
      </c>
      <c r="AL24" s="9" t="s">
        <v>63</v>
      </c>
      <c r="AM24" s="9" t="s">
        <v>41</v>
      </c>
      <c r="AN24" s="9" t="s">
        <v>41</v>
      </c>
      <c r="AO24" s="9"/>
      <c r="AP24" s="9" t="s">
        <v>41</v>
      </c>
      <c r="AQ24" s="9" t="s">
        <v>41</v>
      </c>
      <c r="AR24" s="9" t="s">
        <v>41</v>
      </c>
      <c r="AS24" s="9"/>
      <c r="AT24" s="9" t="s">
        <v>41</v>
      </c>
      <c r="AU24" s="9" t="s">
        <v>41</v>
      </c>
      <c r="AV24" s="9" t="s">
        <v>41</v>
      </c>
      <c r="AW24" s="9"/>
      <c r="AX24" s="9" t="s">
        <v>41</v>
      </c>
      <c r="AY24" s="9" t="s">
        <v>41</v>
      </c>
      <c r="AZ24" s="9" t="s">
        <v>41</v>
      </c>
      <c r="BA24" s="9"/>
      <c r="BB24" s="9" t="s">
        <v>41</v>
      </c>
      <c r="BC24" s="9" t="s">
        <v>41</v>
      </c>
      <c r="BD24" s="9"/>
      <c r="BE24" s="9">
        <v>0</v>
      </c>
      <c r="BJ24" s="9">
        <v>12</v>
      </c>
      <c r="BK24" s="9">
        <v>492</v>
      </c>
      <c r="BL24" s="9" t="s">
        <v>54</v>
      </c>
      <c r="BM24" s="9">
        <v>5.6239999999999997</v>
      </c>
      <c r="BN24" s="9"/>
      <c r="BO24" s="9">
        <v>5.6239999999999997</v>
      </c>
      <c r="BP24" s="9" t="s">
        <v>41</v>
      </c>
      <c r="BQ24" s="9"/>
      <c r="BR24" s="9" t="s">
        <v>41</v>
      </c>
      <c r="BS24" s="9" t="s">
        <v>41</v>
      </c>
      <c r="BT24" s="9"/>
      <c r="BU24" s="9" t="s">
        <v>41</v>
      </c>
      <c r="BV24" s="9"/>
      <c r="BW24" s="9"/>
      <c r="BX24" s="9" t="s">
        <v>41</v>
      </c>
      <c r="BY24" s="9">
        <v>5.6239999999999997</v>
      </c>
      <c r="BZ24" s="9"/>
      <c r="CA24" s="9">
        <v>3.8</v>
      </c>
      <c r="CB24" s="1"/>
      <c r="CC24" s="1"/>
    </row>
    <row r="25" spans="2:81" ht="18" x14ac:dyDescent="0.2">
      <c r="B25">
        <v>17</v>
      </c>
      <c r="C25" s="24"/>
      <c r="D25" s="24"/>
      <c r="E25" s="24"/>
      <c r="O25" s="1"/>
      <c r="P25" s="1"/>
      <c r="Q25" s="1"/>
      <c r="R25" s="9">
        <v>17</v>
      </c>
      <c r="S25" s="9">
        <v>468</v>
      </c>
      <c r="T25" s="9" t="s">
        <v>64</v>
      </c>
      <c r="U25" s="9">
        <v>69.7</v>
      </c>
      <c r="V25" s="9">
        <v>61.6</v>
      </c>
      <c r="W25" s="9">
        <v>81</v>
      </c>
      <c r="X25" s="9"/>
      <c r="Y25" s="9"/>
      <c r="Z25" s="9"/>
      <c r="AA25" s="9">
        <v>32.5</v>
      </c>
      <c r="AB25" s="9"/>
      <c r="AC25" s="9">
        <v>-33</v>
      </c>
      <c r="AD25" s="9">
        <v>211.9</v>
      </c>
      <c r="AJ25" s="9"/>
      <c r="AK25" s="9">
        <v>46</v>
      </c>
      <c r="AL25" s="9" t="s">
        <v>62</v>
      </c>
      <c r="AM25" s="9" t="s">
        <v>41</v>
      </c>
      <c r="AN25" s="9" t="s">
        <v>41</v>
      </c>
      <c r="AO25" s="9"/>
      <c r="AP25" s="9" t="s">
        <v>41</v>
      </c>
      <c r="AQ25" s="9" t="s">
        <v>41</v>
      </c>
      <c r="AR25" s="9" t="s">
        <v>41</v>
      </c>
      <c r="AS25" s="9"/>
      <c r="AT25" s="9" t="s">
        <v>41</v>
      </c>
      <c r="AU25" s="9" t="s">
        <v>41</v>
      </c>
      <c r="AV25" s="9" t="s">
        <v>41</v>
      </c>
      <c r="AW25" s="9"/>
      <c r="AX25" s="9" t="s">
        <v>41</v>
      </c>
      <c r="AY25" s="9" t="s">
        <v>41</v>
      </c>
      <c r="AZ25" s="9" t="s">
        <v>41</v>
      </c>
      <c r="BA25" s="9"/>
      <c r="BB25" s="9" t="s">
        <v>41</v>
      </c>
      <c r="BC25" s="9" t="s">
        <v>41</v>
      </c>
      <c r="BD25" s="9"/>
      <c r="BE25" s="9">
        <v>0</v>
      </c>
      <c r="BJ25" s="9">
        <v>12</v>
      </c>
      <c r="BK25" s="9">
        <v>22</v>
      </c>
      <c r="BL25" s="9" t="s">
        <v>50</v>
      </c>
      <c r="BM25" s="9">
        <v>6.718</v>
      </c>
      <c r="BN25" s="9"/>
      <c r="BO25" s="9" t="s">
        <v>49</v>
      </c>
      <c r="BP25" s="9">
        <v>22.396999999999998</v>
      </c>
      <c r="BQ25" s="9"/>
      <c r="BR25" s="9">
        <v>22.396999999999998</v>
      </c>
      <c r="BS25" s="9">
        <v>9.9009999999999998</v>
      </c>
      <c r="BT25" s="9"/>
      <c r="BU25" s="9">
        <v>9.9009999999999998</v>
      </c>
      <c r="BV25" s="9">
        <v>7.4720000000000004</v>
      </c>
      <c r="BW25" s="9"/>
      <c r="BX25" s="9">
        <v>7.4720000000000004</v>
      </c>
      <c r="BY25" s="9">
        <v>7.4720000000000004</v>
      </c>
      <c r="BZ25" s="9"/>
      <c r="CA25" s="9">
        <v>3.8</v>
      </c>
      <c r="CB25" s="1"/>
      <c r="CC25" s="1"/>
    </row>
    <row r="26" spans="2:81" ht="18" x14ac:dyDescent="0.2">
      <c r="B26">
        <v>18</v>
      </c>
      <c r="C26" s="24"/>
      <c r="D26" s="24"/>
      <c r="E26" s="24"/>
      <c r="O26" s="1"/>
      <c r="P26" s="1"/>
      <c r="Q26" s="1"/>
      <c r="R26" s="9">
        <v>18</v>
      </c>
      <c r="S26" s="9">
        <v>64</v>
      </c>
      <c r="T26" s="9" t="s">
        <v>65</v>
      </c>
      <c r="U26" s="9">
        <v>68.599999999999994</v>
      </c>
      <c r="V26" s="9">
        <v>48.9</v>
      </c>
      <c r="W26" s="9">
        <v>100</v>
      </c>
      <c r="X26" s="9"/>
      <c r="Y26" s="9"/>
      <c r="Z26" s="9"/>
      <c r="AA26" s="9"/>
      <c r="AB26" s="9"/>
      <c r="AC26" s="9">
        <v>-10</v>
      </c>
      <c r="AD26" s="9">
        <v>207.5</v>
      </c>
      <c r="AJ26" s="9"/>
      <c r="AK26" s="9">
        <v>57</v>
      </c>
      <c r="AL26" s="9" t="s">
        <v>66</v>
      </c>
      <c r="AM26" s="9" t="s">
        <v>41</v>
      </c>
      <c r="AN26" s="9" t="s">
        <v>41</v>
      </c>
      <c r="AO26" s="9"/>
      <c r="AP26" s="9" t="s">
        <v>41</v>
      </c>
      <c r="AQ26" s="9" t="s">
        <v>41</v>
      </c>
      <c r="AR26" s="9" t="s">
        <v>41</v>
      </c>
      <c r="AS26" s="9"/>
      <c r="AT26" s="9" t="s">
        <v>41</v>
      </c>
      <c r="AU26" s="9" t="s">
        <v>41</v>
      </c>
      <c r="AV26" s="9" t="s">
        <v>41</v>
      </c>
      <c r="AW26" s="9"/>
      <c r="AX26" s="9" t="s">
        <v>41</v>
      </c>
      <c r="AY26" s="9" t="s">
        <v>41</v>
      </c>
      <c r="AZ26" s="9" t="s">
        <v>41</v>
      </c>
      <c r="BA26" s="9"/>
      <c r="BB26" s="9" t="s">
        <v>41</v>
      </c>
      <c r="BC26" s="9" t="s">
        <v>41</v>
      </c>
      <c r="BD26" s="9"/>
      <c r="BE26" s="9">
        <v>0</v>
      </c>
      <c r="BJ26" s="9"/>
      <c r="BK26" s="9">
        <v>2</v>
      </c>
      <c r="BL26" s="9" t="s">
        <v>53</v>
      </c>
      <c r="BM26" s="9"/>
      <c r="BN26" s="9"/>
      <c r="BO26" s="9" t="s">
        <v>41</v>
      </c>
      <c r="BP26" s="9"/>
      <c r="BQ26" s="9"/>
      <c r="BR26" s="9" t="s">
        <v>41</v>
      </c>
      <c r="BS26" s="9"/>
      <c r="BT26" s="9"/>
      <c r="BU26" s="9" t="s">
        <v>41</v>
      </c>
      <c r="BV26" s="9"/>
      <c r="BW26" s="9"/>
      <c r="BX26" s="9" t="s">
        <v>41</v>
      </c>
      <c r="BY26" s="9" t="s">
        <v>41</v>
      </c>
      <c r="BZ26" s="9"/>
      <c r="CA26" s="9">
        <v>0</v>
      </c>
      <c r="CB26" s="1"/>
      <c r="CC26" s="1"/>
    </row>
    <row r="27" spans="2:81" ht="18" x14ac:dyDescent="0.2">
      <c r="B27">
        <v>19</v>
      </c>
      <c r="C27" s="24"/>
      <c r="D27" s="24"/>
      <c r="E27" s="24"/>
      <c r="O27" s="1"/>
      <c r="P27" s="1"/>
      <c r="Q27" s="1"/>
      <c r="R27" s="9">
        <v>19</v>
      </c>
      <c r="S27" s="9">
        <v>133</v>
      </c>
      <c r="T27" s="9" t="s">
        <v>67</v>
      </c>
      <c r="U27" s="9">
        <v>62.1</v>
      </c>
      <c r="V27" s="9">
        <v>72.3</v>
      </c>
      <c r="W27" s="9">
        <v>81</v>
      </c>
      <c r="X27" s="9"/>
      <c r="Y27" s="9"/>
      <c r="Z27" s="9"/>
      <c r="AA27" s="9"/>
      <c r="AB27" s="9"/>
      <c r="AC27" s="9">
        <v>-10</v>
      </c>
      <c r="AD27" s="9">
        <v>205.4</v>
      </c>
      <c r="AJ27" s="9"/>
      <c r="AK27" s="9">
        <v>63</v>
      </c>
      <c r="AL27" s="9" t="s">
        <v>68</v>
      </c>
      <c r="AM27" s="9" t="s">
        <v>41</v>
      </c>
      <c r="AN27" s="9" t="s">
        <v>41</v>
      </c>
      <c r="AO27" s="9"/>
      <c r="AP27" s="9" t="s">
        <v>41</v>
      </c>
      <c r="AQ27" s="9" t="s">
        <v>41</v>
      </c>
      <c r="AR27" s="9" t="s">
        <v>41</v>
      </c>
      <c r="AS27" s="9"/>
      <c r="AT27" s="9" t="s">
        <v>41</v>
      </c>
      <c r="AU27" s="9" t="s">
        <v>41</v>
      </c>
      <c r="AV27" s="9" t="s">
        <v>41</v>
      </c>
      <c r="AW27" s="9"/>
      <c r="AX27" s="9" t="s">
        <v>41</v>
      </c>
      <c r="AY27" s="9" t="s">
        <v>41</v>
      </c>
      <c r="AZ27" s="9" t="s">
        <v>41</v>
      </c>
      <c r="BA27" s="9"/>
      <c r="BB27" s="9" t="s">
        <v>41</v>
      </c>
      <c r="BC27" s="9" t="s">
        <v>41</v>
      </c>
      <c r="BD27" s="9"/>
      <c r="BE27" s="9">
        <v>0</v>
      </c>
      <c r="BJ27" s="9"/>
      <c r="BK27" s="9">
        <v>5</v>
      </c>
      <c r="BL27" s="9" t="s">
        <v>55</v>
      </c>
      <c r="BM27" s="9"/>
      <c r="BN27" s="9"/>
      <c r="BO27" s="9" t="s">
        <v>41</v>
      </c>
      <c r="BP27" s="9"/>
      <c r="BQ27" s="9"/>
      <c r="BR27" s="9" t="s">
        <v>41</v>
      </c>
      <c r="BS27" s="9"/>
      <c r="BT27" s="9"/>
      <c r="BU27" s="9" t="s">
        <v>41</v>
      </c>
      <c r="BV27" s="9"/>
      <c r="BW27" s="9"/>
      <c r="BX27" s="9" t="s">
        <v>41</v>
      </c>
      <c r="BY27" s="9" t="s">
        <v>41</v>
      </c>
      <c r="BZ27" s="9"/>
      <c r="CA27" s="9">
        <v>0</v>
      </c>
      <c r="CB27" s="1"/>
      <c r="CC27" s="1"/>
    </row>
    <row r="28" spans="2:81" ht="18" x14ac:dyDescent="0.2">
      <c r="B28">
        <v>20</v>
      </c>
      <c r="C28" s="24"/>
      <c r="D28" s="24"/>
      <c r="E28" s="24"/>
      <c r="O28" s="1"/>
      <c r="P28" s="1"/>
      <c r="Q28" s="1"/>
      <c r="R28" s="9">
        <v>20</v>
      </c>
      <c r="S28" s="9">
        <v>22</v>
      </c>
      <c r="T28" s="9" t="s">
        <v>50</v>
      </c>
      <c r="U28" s="9">
        <v>48.5</v>
      </c>
      <c r="V28" s="9">
        <v>61.1</v>
      </c>
      <c r="W28" s="9">
        <v>86</v>
      </c>
      <c r="X28" s="9">
        <v>23.6</v>
      </c>
      <c r="Y28" s="9">
        <v>3.8</v>
      </c>
      <c r="Z28" s="9">
        <v>5</v>
      </c>
      <c r="AA28" s="9"/>
      <c r="AB28" s="9"/>
      <c r="AC28" s="9">
        <v>-31</v>
      </c>
      <c r="AD28" s="9">
        <v>196.9</v>
      </c>
      <c r="AJ28" s="9"/>
      <c r="AK28" s="9">
        <v>64</v>
      </c>
      <c r="AL28" s="9" t="s">
        <v>65</v>
      </c>
      <c r="AM28" s="9" t="s">
        <v>41</v>
      </c>
      <c r="AN28" s="9" t="s">
        <v>41</v>
      </c>
      <c r="AO28" s="9"/>
      <c r="AP28" s="9" t="s">
        <v>41</v>
      </c>
      <c r="AQ28" s="9" t="s">
        <v>41</v>
      </c>
      <c r="AR28" s="9" t="s">
        <v>41</v>
      </c>
      <c r="AS28" s="9"/>
      <c r="AT28" s="9" t="s">
        <v>41</v>
      </c>
      <c r="AU28" s="9" t="s">
        <v>41</v>
      </c>
      <c r="AV28" s="9" t="s">
        <v>41</v>
      </c>
      <c r="AW28" s="9"/>
      <c r="AX28" s="9" t="s">
        <v>41</v>
      </c>
      <c r="AY28" s="9" t="s">
        <v>41</v>
      </c>
      <c r="AZ28" s="9" t="s">
        <v>41</v>
      </c>
      <c r="BA28" s="9"/>
      <c r="BB28" s="9" t="s">
        <v>41</v>
      </c>
      <c r="BC28" s="9" t="s">
        <v>41</v>
      </c>
      <c r="BD28" s="9"/>
      <c r="BE28" s="9">
        <v>0</v>
      </c>
      <c r="BJ28" s="9"/>
      <c r="BK28" s="9">
        <v>11</v>
      </c>
      <c r="BL28" s="9" t="s">
        <v>56</v>
      </c>
      <c r="BM28" s="9"/>
      <c r="BN28" s="9"/>
      <c r="BO28" s="9" t="s">
        <v>41</v>
      </c>
      <c r="BP28" s="9"/>
      <c r="BQ28" s="9"/>
      <c r="BR28" s="9" t="s">
        <v>41</v>
      </c>
      <c r="BS28" s="9"/>
      <c r="BT28" s="9"/>
      <c r="BU28" s="9" t="s">
        <v>41</v>
      </c>
      <c r="BV28" s="9"/>
      <c r="BW28" s="9"/>
      <c r="BX28" s="9" t="s">
        <v>41</v>
      </c>
      <c r="BY28" s="9" t="s">
        <v>41</v>
      </c>
      <c r="BZ28" s="9"/>
      <c r="CA28" s="9">
        <v>0</v>
      </c>
      <c r="CB28" s="1"/>
      <c r="CC28" s="1"/>
    </row>
    <row r="29" spans="2:81" ht="18" x14ac:dyDescent="0.2">
      <c r="B29">
        <v>21</v>
      </c>
      <c r="C29" s="24"/>
      <c r="D29" s="24"/>
      <c r="E29" s="24"/>
      <c r="O29" s="1"/>
      <c r="P29" s="1"/>
      <c r="Q29" s="1"/>
      <c r="R29" s="9">
        <v>21</v>
      </c>
      <c r="S29" s="9">
        <v>2</v>
      </c>
      <c r="T29" s="9" t="s">
        <v>53</v>
      </c>
      <c r="U29" s="9">
        <v>53.2</v>
      </c>
      <c r="V29" s="9">
        <v>48.9</v>
      </c>
      <c r="W29" s="9">
        <v>94</v>
      </c>
      <c r="X29" s="9"/>
      <c r="Y29" s="9"/>
      <c r="Z29" s="9"/>
      <c r="AA29" s="9"/>
      <c r="AB29" s="9"/>
      <c r="AC29" s="9">
        <v>-15</v>
      </c>
      <c r="AD29" s="9">
        <v>181</v>
      </c>
      <c r="AJ29" s="9"/>
      <c r="AK29" s="9">
        <v>65</v>
      </c>
      <c r="AL29" s="9" t="s">
        <v>69</v>
      </c>
      <c r="AM29" s="9" t="s">
        <v>41</v>
      </c>
      <c r="AN29" s="9" t="s">
        <v>41</v>
      </c>
      <c r="AO29" s="9"/>
      <c r="AP29" s="9" t="s">
        <v>41</v>
      </c>
      <c r="AQ29" s="9" t="s">
        <v>41</v>
      </c>
      <c r="AR29" s="9" t="s">
        <v>41</v>
      </c>
      <c r="AS29" s="9"/>
      <c r="AT29" s="9" t="s">
        <v>41</v>
      </c>
      <c r="AU29" s="9" t="s">
        <v>41</v>
      </c>
      <c r="AV29" s="9" t="s">
        <v>41</v>
      </c>
      <c r="AW29" s="9"/>
      <c r="AX29" s="9" t="s">
        <v>41</v>
      </c>
      <c r="AY29" s="9" t="s">
        <v>41</v>
      </c>
      <c r="AZ29" s="9" t="s">
        <v>41</v>
      </c>
      <c r="BA29" s="9"/>
      <c r="BB29" s="9" t="s">
        <v>41</v>
      </c>
      <c r="BC29" s="9" t="s">
        <v>41</v>
      </c>
      <c r="BD29" s="9"/>
      <c r="BE29" s="9">
        <v>0</v>
      </c>
      <c r="BJ29" s="9"/>
      <c r="BK29" s="9">
        <v>14</v>
      </c>
      <c r="BL29" s="9" t="s">
        <v>47</v>
      </c>
      <c r="BM29" s="9">
        <v>4.0060000000000002</v>
      </c>
      <c r="BN29" s="9"/>
      <c r="BO29" s="9" t="s">
        <v>49</v>
      </c>
      <c r="BP29" s="9">
        <v>3.97</v>
      </c>
      <c r="BQ29" s="9"/>
      <c r="BR29" s="9" t="s">
        <v>49</v>
      </c>
      <c r="BS29" s="9"/>
      <c r="BT29" s="9"/>
      <c r="BU29" s="9" t="s">
        <v>41</v>
      </c>
      <c r="BV29" s="9"/>
      <c r="BW29" s="9"/>
      <c r="BX29" s="9" t="s">
        <v>41</v>
      </c>
      <c r="BY29" s="9" t="s">
        <v>41</v>
      </c>
      <c r="BZ29" s="9"/>
      <c r="CA29" s="9">
        <v>0</v>
      </c>
      <c r="CB29" s="1"/>
      <c r="CC29" s="1"/>
    </row>
    <row r="30" spans="2:81" ht="18" x14ac:dyDescent="0.2">
      <c r="B30">
        <v>22</v>
      </c>
      <c r="C30" s="24"/>
      <c r="D30" s="24"/>
      <c r="E30" s="24"/>
      <c r="O30" s="1"/>
      <c r="P30" s="1"/>
      <c r="Q30" s="1"/>
      <c r="R30" s="9">
        <v>22</v>
      </c>
      <c r="S30" s="9">
        <v>84</v>
      </c>
      <c r="T30" s="9" t="s">
        <v>70</v>
      </c>
      <c r="U30" s="9">
        <v>49.5</v>
      </c>
      <c r="V30" s="9">
        <v>42.5</v>
      </c>
      <c r="W30" s="9">
        <v>95</v>
      </c>
      <c r="X30" s="9"/>
      <c r="Y30" s="9"/>
      <c r="Z30" s="9"/>
      <c r="AA30" s="9"/>
      <c r="AB30" s="9"/>
      <c r="AC30" s="9">
        <v>-6</v>
      </c>
      <c r="AD30" s="9">
        <v>181</v>
      </c>
      <c r="AJ30" s="9"/>
      <c r="AK30" s="9">
        <v>72</v>
      </c>
      <c r="AL30" s="9" t="s">
        <v>71</v>
      </c>
      <c r="AM30" s="9" t="s">
        <v>41</v>
      </c>
      <c r="AN30" s="9" t="s">
        <v>41</v>
      </c>
      <c r="AO30" s="9"/>
      <c r="AP30" s="9" t="s">
        <v>41</v>
      </c>
      <c r="AQ30" s="9" t="s">
        <v>41</v>
      </c>
      <c r="AR30" s="9" t="s">
        <v>41</v>
      </c>
      <c r="AS30" s="9"/>
      <c r="AT30" s="9" t="s">
        <v>41</v>
      </c>
      <c r="AU30" s="9" t="s">
        <v>41</v>
      </c>
      <c r="AV30" s="9" t="s">
        <v>41</v>
      </c>
      <c r="AW30" s="9"/>
      <c r="AX30" s="9" t="s">
        <v>41</v>
      </c>
      <c r="AY30" s="9" t="s">
        <v>41</v>
      </c>
      <c r="AZ30" s="9" t="s">
        <v>41</v>
      </c>
      <c r="BA30" s="9"/>
      <c r="BB30" s="9" t="s">
        <v>41</v>
      </c>
      <c r="BC30" s="9" t="s">
        <v>41</v>
      </c>
      <c r="BD30" s="9"/>
      <c r="BE30" s="9">
        <v>0</v>
      </c>
      <c r="BJ30" s="9"/>
      <c r="BK30" s="9">
        <v>18</v>
      </c>
      <c r="BL30" s="9" t="s">
        <v>61</v>
      </c>
      <c r="BM30" s="9"/>
      <c r="BN30" s="9"/>
      <c r="BO30" s="9" t="s">
        <v>41</v>
      </c>
      <c r="BP30" s="9"/>
      <c r="BQ30" s="9"/>
      <c r="BR30" s="9" t="s">
        <v>41</v>
      </c>
      <c r="BS30" s="9"/>
      <c r="BT30" s="9"/>
      <c r="BU30" s="9" t="s">
        <v>41</v>
      </c>
      <c r="BV30" s="9"/>
      <c r="BW30" s="9"/>
      <c r="BX30" s="9" t="s">
        <v>41</v>
      </c>
      <c r="BY30" s="9" t="s">
        <v>41</v>
      </c>
      <c r="BZ30" s="9"/>
      <c r="CA30" s="9">
        <v>0</v>
      </c>
      <c r="CB30" s="1"/>
      <c r="CC30" s="1"/>
    </row>
    <row r="31" spans="2:81" ht="18" x14ac:dyDescent="0.2">
      <c r="B31">
        <v>23</v>
      </c>
      <c r="C31" s="24"/>
      <c r="D31" s="24"/>
      <c r="E31" s="24"/>
      <c r="O31" s="1"/>
      <c r="P31" s="1"/>
      <c r="Q31" s="1"/>
      <c r="R31" s="9">
        <v>23</v>
      </c>
      <c r="S31" s="9">
        <v>11</v>
      </c>
      <c r="T31" s="9" t="s">
        <v>56</v>
      </c>
      <c r="U31" s="9">
        <v>69.7</v>
      </c>
      <c r="V31" s="9">
        <v>45.7</v>
      </c>
      <c r="W31" s="9">
        <v>63</v>
      </c>
      <c r="X31" s="9"/>
      <c r="Y31" s="9"/>
      <c r="Z31" s="9"/>
      <c r="AA31" s="9"/>
      <c r="AB31" s="9"/>
      <c r="AC31" s="9"/>
      <c r="AD31" s="9">
        <v>178.4</v>
      </c>
      <c r="AJ31" s="9"/>
      <c r="AK31" s="9">
        <v>73</v>
      </c>
      <c r="AL31" s="9" t="s">
        <v>72</v>
      </c>
      <c r="AM31" s="9" t="s">
        <v>41</v>
      </c>
      <c r="AN31" s="9" t="s">
        <v>41</v>
      </c>
      <c r="AO31" s="9"/>
      <c r="AP31" s="9" t="s">
        <v>41</v>
      </c>
      <c r="AQ31" s="9" t="s">
        <v>41</v>
      </c>
      <c r="AR31" s="9" t="s">
        <v>41</v>
      </c>
      <c r="AS31" s="9"/>
      <c r="AT31" s="9" t="s">
        <v>41</v>
      </c>
      <c r="AU31" s="9" t="s">
        <v>41</v>
      </c>
      <c r="AV31" s="9" t="s">
        <v>41</v>
      </c>
      <c r="AW31" s="9"/>
      <c r="AX31" s="9" t="s">
        <v>41</v>
      </c>
      <c r="AY31" s="9" t="s">
        <v>41</v>
      </c>
      <c r="AZ31" s="9" t="s">
        <v>41</v>
      </c>
      <c r="BA31" s="9"/>
      <c r="BB31" s="9" t="s">
        <v>41</v>
      </c>
      <c r="BC31" s="9" t="s">
        <v>41</v>
      </c>
      <c r="BD31" s="9"/>
      <c r="BE31" s="9">
        <v>0</v>
      </c>
      <c r="BJ31" s="9"/>
      <c r="BK31" s="9">
        <v>25</v>
      </c>
      <c r="BL31" s="9" t="s">
        <v>63</v>
      </c>
      <c r="BM31" s="9"/>
      <c r="BN31" s="9"/>
      <c r="BO31" s="9" t="s">
        <v>41</v>
      </c>
      <c r="BP31" s="9"/>
      <c r="BQ31" s="9"/>
      <c r="BR31" s="9" t="s">
        <v>41</v>
      </c>
      <c r="BS31" s="9"/>
      <c r="BT31" s="9"/>
      <c r="BU31" s="9" t="s">
        <v>41</v>
      </c>
      <c r="BV31" s="9"/>
      <c r="BW31" s="9"/>
      <c r="BX31" s="9" t="s">
        <v>41</v>
      </c>
      <c r="BY31" s="9" t="s">
        <v>41</v>
      </c>
      <c r="BZ31" s="9"/>
      <c r="CA31" s="9">
        <v>0</v>
      </c>
      <c r="CB31" s="1"/>
      <c r="CC31" s="1"/>
    </row>
    <row r="32" spans="2:81" ht="18" x14ac:dyDescent="0.2">
      <c r="B32">
        <v>24</v>
      </c>
      <c r="C32" s="24"/>
      <c r="D32" s="24"/>
      <c r="E32" s="24"/>
      <c r="O32" s="1"/>
      <c r="P32" s="1"/>
      <c r="Q32" s="1"/>
      <c r="R32" s="9">
        <v>24</v>
      </c>
      <c r="S32" s="9">
        <v>79</v>
      </c>
      <c r="T32" s="9" t="s">
        <v>59</v>
      </c>
      <c r="U32" s="9">
        <v>40</v>
      </c>
      <c r="V32" s="9">
        <v>51</v>
      </c>
      <c r="W32" s="9">
        <v>94</v>
      </c>
      <c r="X32" s="9"/>
      <c r="Y32" s="9"/>
      <c r="Z32" s="9">
        <v>3.8</v>
      </c>
      <c r="AA32" s="9">
        <v>5</v>
      </c>
      <c r="AB32" s="9"/>
      <c r="AC32" s="9">
        <v>-20</v>
      </c>
      <c r="AD32" s="9">
        <v>173.7</v>
      </c>
      <c r="AJ32" s="9"/>
      <c r="AK32" s="9">
        <v>79</v>
      </c>
      <c r="AL32" s="9" t="s">
        <v>59</v>
      </c>
      <c r="AM32" s="9" t="s">
        <v>41</v>
      </c>
      <c r="AN32" s="9" t="s">
        <v>41</v>
      </c>
      <c r="AO32" s="9"/>
      <c r="AP32" s="9" t="s">
        <v>41</v>
      </c>
      <c r="AQ32" s="9" t="s">
        <v>41</v>
      </c>
      <c r="AR32" s="9" t="s">
        <v>41</v>
      </c>
      <c r="AS32" s="9"/>
      <c r="AT32" s="9" t="s">
        <v>41</v>
      </c>
      <c r="AU32" s="9" t="s">
        <v>41</v>
      </c>
      <c r="AV32" s="9" t="s">
        <v>41</v>
      </c>
      <c r="AW32" s="9"/>
      <c r="AX32" s="9" t="s">
        <v>41</v>
      </c>
      <c r="AY32" s="9" t="s">
        <v>41</v>
      </c>
      <c r="AZ32" s="9" t="s">
        <v>41</v>
      </c>
      <c r="BA32" s="9"/>
      <c r="BB32" s="9" t="s">
        <v>41</v>
      </c>
      <c r="BC32" s="9" t="s">
        <v>41</v>
      </c>
      <c r="BD32" s="9"/>
      <c r="BE32" s="9">
        <v>0</v>
      </c>
      <c r="BJ32" s="9"/>
      <c r="BK32" s="9">
        <v>46</v>
      </c>
      <c r="BL32" s="9" t="s">
        <v>62</v>
      </c>
      <c r="BM32" s="9"/>
      <c r="BN32" s="9"/>
      <c r="BO32" s="9" t="s">
        <v>41</v>
      </c>
      <c r="BP32" s="9"/>
      <c r="BQ32" s="9"/>
      <c r="BR32" s="9" t="s">
        <v>41</v>
      </c>
      <c r="BS32" s="9"/>
      <c r="BT32" s="9"/>
      <c r="BU32" s="9" t="s">
        <v>41</v>
      </c>
      <c r="BV32" s="9"/>
      <c r="BW32" s="9"/>
      <c r="BX32" s="9" t="s">
        <v>41</v>
      </c>
      <c r="BY32" s="9" t="s">
        <v>41</v>
      </c>
      <c r="BZ32" s="9"/>
      <c r="CA32" s="9">
        <v>0</v>
      </c>
      <c r="CB32" s="1"/>
      <c r="CC32" s="1"/>
    </row>
    <row r="33" spans="2:81" ht="18" x14ac:dyDescent="0.2">
      <c r="B33">
        <v>25</v>
      </c>
      <c r="C33" s="24"/>
      <c r="D33" s="24"/>
      <c r="E33" s="24"/>
      <c r="O33" s="1"/>
      <c r="P33" s="1"/>
      <c r="Q33" s="1"/>
      <c r="R33" s="9">
        <v>25</v>
      </c>
      <c r="S33" s="9">
        <v>57</v>
      </c>
      <c r="T33" s="9" t="s">
        <v>66</v>
      </c>
      <c r="U33" s="9">
        <v>56</v>
      </c>
      <c r="V33" s="9">
        <v>46.8</v>
      </c>
      <c r="W33" s="9">
        <v>78</v>
      </c>
      <c r="X33" s="9"/>
      <c r="Y33" s="9"/>
      <c r="Z33" s="9"/>
      <c r="AA33" s="9"/>
      <c r="AB33" s="9"/>
      <c r="AC33" s="9">
        <v>-11</v>
      </c>
      <c r="AD33" s="9">
        <v>169.8</v>
      </c>
      <c r="AJ33" s="9"/>
      <c r="AK33" s="9">
        <v>81</v>
      </c>
      <c r="AL33" s="9" t="s">
        <v>73</v>
      </c>
      <c r="AM33" s="9" t="s">
        <v>41</v>
      </c>
      <c r="AN33" s="9" t="s">
        <v>41</v>
      </c>
      <c r="AO33" s="9"/>
      <c r="AP33" s="9" t="s">
        <v>41</v>
      </c>
      <c r="AQ33" s="9" t="s">
        <v>41</v>
      </c>
      <c r="AR33" s="9" t="s">
        <v>41</v>
      </c>
      <c r="AS33" s="9"/>
      <c r="AT33" s="9" t="s">
        <v>41</v>
      </c>
      <c r="AU33" s="9" t="s">
        <v>41</v>
      </c>
      <c r="AV33" s="9" t="s">
        <v>41</v>
      </c>
      <c r="AW33" s="9"/>
      <c r="AX33" s="9" t="s">
        <v>41</v>
      </c>
      <c r="AY33" s="9" t="s">
        <v>41</v>
      </c>
      <c r="AZ33" s="9" t="s">
        <v>41</v>
      </c>
      <c r="BA33" s="9"/>
      <c r="BB33" s="9" t="s">
        <v>41</v>
      </c>
      <c r="BC33" s="9" t="s">
        <v>41</v>
      </c>
      <c r="BD33" s="9"/>
      <c r="BE33" s="9">
        <v>0</v>
      </c>
      <c r="BJ33" s="9"/>
      <c r="BK33" s="9">
        <v>57</v>
      </c>
      <c r="BL33" s="9" t="s">
        <v>66</v>
      </c>
      <c r="BM33" s="9"/>
      <c r="BN33" s="9"/>
      <c r="BO33" s="9" t="s">
        <v>41</v>
      </c>
      <c r="BP33" s="9"/>
      <c r="BQ33" s="9"/>
      <c r="BR33" s="9" t="s">
        <v>41</v>
      </c>
      <c r="BS33" s="9"/>
      <c r="BT33" s="9"/>
      <c r="BU33" s="9" t="s">
        <v>41</v>
      </c>
      <c r="BV33" s="9"/>
      <c r="BW33" s="9"/>
      <c r="BX33" s="9" t="s">
        <v>41</v>
      </c>
      <c r="BY33" s="9" t="s">
        <v>41</v>
      </c>
      <c r="BZ33" s="9"/>
      <c r="CA33" s="9">
        <v>0</v>
      </c>
      <c r="CB33" s="1"/>
      <c r="CC33" s="1"/>
    </row>
    <row r="34" spans="2:81" ht="18" x14ac:dyDescent="0.2">
      <c r="B34">
        <v>26</v>
      </c>
      <c r="C34" s="24"/>
      <c r="D34" s="24"/>
      <c r="E34" s="24"/>
      <c r="O34" s="1"/>
      <c r="P34" s="1"/>
      <c r="Q34" s="1"/>
      <c r="R34" s="9">
        <v>26</v>
      </c>
      <c r="S34" s="9">
        <v>5</v>
      </c>
      <c r="T34" s="9" t="s">
        <v>55</v>
      </c>
      <c r="U34" s="9">
        <v>57.7</v>
      </c>
      <c r="V34" s="9">
        <v>31.3</v>
      </c>
      <c r="W34" s="9">
        <v>93</v>
      </c>
      <c r="X34" s="9"/>
      <c r="Y34" s="9"/>
      <c r="Z34" s="9"/>
      <c r="AA34" s="9"/>
      <c r="AB34" s="9"/>
      <c r="AC34" s="9">
        <v>-17</v>
      </c>
      <c r="AD34" s="9">
        <v>165.1</v>
      </c>
      <c r="AJ34" s="9"/>
      <c r="AK34" s="9">
        <v>83</v>
      </c>
      <c r="AL34" s="9" t="s">
        <v>74</v>
      </c>
      <c r="AM34" s="9" t="s">
        <v>41</v>
      </c>
      <c r="AN34" s="9" t="s">
        <v>41</v>
      </c>
      <c r="AO34" s="9"/>
      <c r="AP34" s="9" t="s">
        <v>41</v>
      </c>
      <c r="AQ34" s="9" t="s">
        <v>41</v>
      </c>
      <c r="AR34" s="9" t="s">
        <v>41</v>
      </c>
      <c r="AS34" s="9"/>
      <c r="AT34" s="9" t="s">
        <v>41</v>
      </c>
      <c r="AU34" s="9" t="s">
        <v>41</v>
      </c>
      <c r="AV34" s="9" t="s">
        <v>41</v>
      </c>
      <c r="AW34" s="9"/>
      <c r="AX34" s="9" t="s">
        <v>41</v>
      </c>
      <c r="AY34" s="9" t="s">
        <v>41</v>
      </c>
      <c r="AZ34" s="9" t="s">
        <v>41</v>
      </c>
      <c r="BA34" s="9"/>
      <c r="BB34" s="9" t="s">
        <v>41</v>
      </c>
      <c r="BC34" s="9" t="s">
        <v>41</v>
      </c>
      <c r="BD34" s="9"/>
      <c r="BE34" s="9">
        <v>0</v>
      </c>
      <c r="BJ34" s="9"/>
      <c r="BK34" s="9">
        <v>63</v>
      </c>
      <c r="BL34" s="9" t="s">
        <v>68</v>
      </c>
      <c r="BM34" s="9"/>
      <c r="BN34" s="9"/>
      <c r="BO34" s="9" t="s">
        <v>41</v>
      </c>
      <c r="BP34" s="9"/>
      <c r="BQ34" s="9"/>
      <c r="BR34" s="9" t="s">
        <v>41</v>
      </c>
      <c r="BS34" s="9"/>
      <c r="BT34" s="9"/>
      <c r="BU34" s="9" t="s">
        <v>41</v>
      </c>
      <c r="BV34" s="9"/>
      <c r="BW34" s="9"/>
      <c r="BX34" s="9" t="s">
        <v>41</v>
      </c>
      <c r="BY34" s="9" t="s">
        <v>41</v>
      </c>
      <c r="BZ34" s="9"/>
      <c r="CA34" s="9">
        <v>0</v>
      </c>
      <c r="CB34" s="1"/>
      <c r="CC34" s="1"/>
    </row>
    <row r="35" spans="2:81" ht="18" x14ac:dyDescent="0.2">
      <c r="B35">
        <v>27</v>
      </c>
      <c r="C35" s="24"/>
      <c r="D35" s="24"/>
      <c r="E35" s="24"/>
      <c r="O35" s="1"/>
      <c r="P35" s="1"/>
      <c r="Q35" s="1"/>
      <c r="R35" s="9">
        <v>27</v>
      </c>
      <c r="S35" s="9">
        <v>72</v>
      </c>
      <c r="T35" s="9" t="s">
        <v>71</v>
      </c>
      <c r="U35" s="9">
        <v>44.7</v>
      </c>
      <c r="V35" s="9">
        <v>47.8</v>
      </c>
      <c r="W35" s="9">
        <v>81</v>
      </c>
      <c r="X35" s="9"/>
      <c r="Y35" s="9"/>
      <c r="Z35" s="9"/>
      <c r="AA35" s="9"/>
      <c r="AB35" s="9"/>
      <c r="AC35" s="9">
        <v>-9</v>
      </c>
      <c r="AD35" s="9">
        <v>164.5</v>
      </c>
      <c r="AJ35" s="9"/>
      <c r="AK35" s="9">
        <v>84</v>
      </c>
      <c r="AL35" s="9" t="s">
        <v>70</v>
      </c>
      <c r="AM35" s="9" t="s">
        <v>41</v>
      </c>
      <c r="AN35" s="9" t="s">
        <v>41</v>
      </c>
      <c r="AO35" s="9"/>
      <c r="AP35" s="9" t="s">
        <v>41</v>
      </c>
      <c r="AQ35" s="9" t="s">
        <v>41</v>
      </c>
      <c r="AR35" s="9" t="s">
        <v>41</v>
      </c>
      <c r="AS35" s="9"/>
      <c r="AT35" s="9" t="s">
        <v>41</v>
      </c>
      <c r="AU35" s="9" t="s">
        <v>41</v>
      </c>
      <c r="AV35" s="9" t="s">
        <v>41</v>
      </c>
      <c r="AW35" s="9"/>
      <c r="AX35" s="9" t="s">
        <v>41</v>
      </c>
      <c r="AY35" s="9" t="s">
        <v>41</v>
      </c>
      <c r="AZ35" s="9" t="s">
        <v>41</v>
      </c>
      <c r="BA35" s="9"/>
      <c r="BB35" s="9" t="s">
        <v>41</v>
      </c>
      <c r="BC35" s="9" t="s">
        <v>41</v>
      </c>
      <c r="BD35" s="9"/>
      <c r="BE35" s="9">
        <v>0</v>
      </c>
      <c r="BJ35" s="9"/>
      <c r="BK35" s="9">
        <v>64</v>
      </c>
      <c r="BL35" s="9" t="s">
        <v>65</v>
      </c>
      <c r="BM35" s="9"/>
      <c r="BN35" s="9"/>
      <c r="BO35" s="9" t="s">
        <v>41</v>
      </c>
      <c r="BP35" s="9"/>
      <c r="BQ35" s="9"/>
      <c r="BR35" s="9" t="s">
        <v>41</v>
      </c>
      <c r="BS35" s="9"/>
      <c r="BT35" s="9"/>
      <c r="BU35" s="9" t="s">
        <v>41</v>
      </c>
      <c r="BV35" s="9"/>
      <c r="BW35" s="9"/>
      <c r="BX35" s="9" t="s">
        <v>41</v>
      </c>
      <c r="BY35" s="9" t="s">
        <v>41</v>
      </c>
      <c r="BZ35" s="9"/>
      <c r="CA35" s="9">
        <v>0</v>
      </c>
      <c r="CB35" s="1"/>
      <c r="CC35" s="1"/>
    </row>
    <row r="36" spans="2:81" ht="18" x14ac:dyDescent="0.2">
      <c r="B36">
        <v>28</v>
      </c>
      <c r="C36" s="24"/>
      <c r="D36" s="24"/>
      <c r="E36" s="24"/>
      <c r="O36" s="1"/>
      <c r="P36" s="1"/>
      <c r="Q36" s="1"/>
      <c r="R36" s="9">
        <v>28</v>
      </c>
      <c r="S36" s="9">
        <v>73</v>
      </c>
      <c r="T36" s="9" t="s">
        <v>72</v>
      </c>
      <c r="U36" s="9">
        <v>40.700000000000003</v>
      </c>
      <c r="V36" s="9">
        <v>31.9</v>
      </c>
      <c r="W36" s="9">
        <v>96</v>
      </c>
      <c r="X36" s="9"/>
      <c r="Y36" s="9"/>
      <c r="Z36" s="9"/>
      <c r="AA36" s="9"/>
      <c r="AB36" s="9"/>
      <c r="AC36" s="9">
        <v>-5</v>
      </c>
      <c r="AD36" s="9">
        <v>163.6</v>
      </c>
      <c r="AJ36" s="9"/>
      <c r="AK36" s="9">
        <v>99</v>
      </c>
      <c r="AL36" s="9" t="s">
        <v>75</v>
      </c>
      <c r="AM36" s="9" t="s">
        <v>41</v>
      </c>
      <c r="AN36" s="9" t="s">
        <v>41</v>
      </c>
      <c r="AO36" s="9"/>
      <c r="AP36" s="9" t="s">
        <v>41</v>
      </c>
      <c r="AQ36" s="9" t="s">
        <v>41</v>
      </c>
      <c r="AR36" s="9" t="s">
        <v>41</v>
      </c>
      <c r="AS36" s="9"/>
      <c r="AT36" s="9" t="s">
        <v>41</v>
      </c>
      <c r="AU36" s="9" t="s">
        <v>41</v>
      </c>
      <c r="AV36" s="9" t="s">
        <v>41</v>
      </c>
      <c r="AW36" s="9"/>
      <c r="AX36" s="9" t="s">
        <v>41</v>
      </c>
      <c r="AY36" s="9" t="s">
        <v>41</v>
      </c>
      <c r="AZ36" s="9" t="s">
        <v>41</v>
      </c>
      <c r="BA36" s="9"/>
      <c r="BB36" s="9" t="s">
        <v>41</v>
      </c>
      <c r="BC36" s="9" t="s">
        <v>41</v>
      </c>
      <c r="BD36" s="9"/>
      <c r="BE36" s="9">
        <v>0</v>
      </c>
      <c r="BJ36" s="9"/>
      <c r="BK36" s="9">
        <v>65</v>
      </c>
      <c r="BL36" s="9" t="s">
        <v>69</v>
      </c>
      <c r="BM36" s="9"/>
      <c r="BN36" s="9"/>
      <c r="BO36" s="9" t="s">
        <v>41</v>
      </c>
      <c r="BP36" s="9"/>
      <c r="BQ36" s="9"/>
      <c r="BR36" s="9" t="s">
        <v>41</v>
      </c>
      <c r="BS36" s="9"/>
      <c r="BT36" s="9"/>
      <c r="BU36" s="9" t="s">
        <v>41</v>
      </c>
      <c r="BV36" s="9"/>
      <c r="BW36" s="9"/>
      <c r="BX36" s="9" t="s">
        <v>41</v>
      </c>
      <c r="BY36" s="9" t="s">
        <v>41</v>
      </c>
      <c r="BZ36" s="9"/>
      <c r="CA36" s="9">
        <v>0</v>
      </c>
      <c r="CB36" s="1"/>
      <c r="CC36" s="1"/>
    </row>
    <row r="37" spans="2:81" ht="18" x14ac:dyDescent="0.2">
      <c r="B37">
        <v>29</v>
      </c>
      <c r="C37" s="24"/>
      <c r="D37" s="24"/>
      <c r="E37" s="24"/>
      <c r="O37" s="1"/>
      <c r="P37" s="1"/>
      <c r="Q37" s="1"/>
      <c r="R37" s="9">
        <v>29</v>
      </c>
      <c r="S37" s="9">
        <v>119</v>
      </c>
      <c r="T37" s="9" t="s">
        <v>76</v>
      </c>
      <c r="U37" s="9">
        <v>59.8</v>
      </c>
      <c r="V37" s="9">
        <v>32.9</v>
      </c>
      <c r="W37" s="9">
        <v>72</v>
      </c>
      <c r="X37" s="9"/>
      <c r="Y37" s="9"/>
      <c r="Z37" s="9"/>
      <c r="AA37" s="9"/>
      <c r="AB37" s="9"/>
      <c r="AC37" s="9">
        <v>-11</v>
      </c>
      <c r="AD37" s="9">
        <v>153.80000000000001</v>
      </c>
      <c r="AJ37" s="9"/>
      <c r="AK37" s="9">
        <v>119</v>
      </c>
      <c r="AL37" s="9" t="s">
        <v>76</v>
      </c>
      <c r="AM37" s="9" t="s">
        <v>41</v>
      </c>
      <c r="AN37" s="9" t="s">
        <v>41</v>
      </c>
      <c r="AO37" s="9"/>
      <c r="AP37" s="9" t="s">
        <v>41</v>
      </c>
      <c r="AQ37" s="9" t="s">
        <v>41</v>
      </c>
      <c r="AR37" s="9" t="s">
        <v>41</v>
      </c>
      <c r="AS37" s="9"/>
      <c r="AT37" s="9" t="s">
        <v>41</v>
      </c>
      <c r="AU37" s="9" t="s">
        <v>41</v>
      </c>
      <c r="AV37" s="9" t="s">
        <v>41</v>
      </c>
      <c r="AW37" s="9"/>
      <c r="AX37" s="9" t="s">
        <v>41</v>
      </c>
      <c r="AY37" s="9" t="s">
        <v>41</v>
      </c>
      <c r="AZ37" s="9" t="s">
        <v>41</v>
      </c>
      <c r="BA37" s="9"/>
      <c r="BB37" s="9" t="s">
        <v>41</v>
      </c>
      <c r="BC37" s="9" t="s">
        <v>41</v>
      </c>
      <c r="BD37" s="9"/>
      <c r="BE37" s="9">
        <v>0</v>
      </c>
      <c r="BJ37" s="9"/>
      <c r="BK37" s="9">
        <v>72</v>
      </c>
      <c r="BL37" s="9" t="s">
        <v>71</v>
      </c>
      <c r="BM37" s="9"/>
      <c r="BN37" s="9"/>
      <c r="BO37" s="9" t="s">
        <v>41</v>
      </c>
      <c r="BP37" s="9"/>
      <c r="BQ37" s="9"/>
      <c r="BR37" s="9" t="s">
        <v>41</v>
      </c>
      <c r="BS37" s="9"/>
      <c r="BT37" s="9"/>
      <c r="BU37" s="9" t="s">
        <v>41</v>
      </c>
      <c r="BV37" s="9"/>
      <c r="BW37" s="9"/>
      <c r="BX37" s="9" t="s">
        <v>41</v>
      </c>
      <c r="BY37" s="9" t="s">
        <v>41</v>
      </c>
      <c r="BZ37" s="9"/>
      <c r="CA37" s="9">
        <v>0</v>
      </c>
      <c r="CB37" s="1"/>
      <c r="CC37" s="1"/>
    </row>
    <row r="38" spans="2:81" ht="18" x14ac:dyDescent="0.2">
      <c r="B38">
        <v>30</v>
      </c>
      <c r="C38" s="24"/>
      <c r="D38" s="24"/>
      <c r="E38" s="24"/>
      <c r="O38" s="1"/>
      <c r="P38" s="1"/>
      <c r="Q38" s="1"/>
      <c r="R38" s="9">
        <v>30</v>
      </c>
      <c r="S38" s="9">
        <v>25</v>
      </c>
      <c r="T38" s="9" t="s">
        <v>77</v>
      </c>
      <c r="U38" s="9">
        <v>37.6</v>
      </c>
      <c r="V38" s="9">
        <v>49.9</v>
      </c>
      <c r="W38" s="9">
        <v>81</v>
      </c>
      <c r="X38" s="9"/>
      <c r="Y38" s="9"/>
      <c r="Z38" s="9"/>
      <c r="AA38" s="9"/>
      <c r="AB38" s="9"/>
      <c r="AC38" s="9">
        <v>-21</v>
      </c>
      <c r="AD38" s="9">
        <v>147.6</v>
      </c>
      <c r="AJ38" s="9"/>
      <c r="AK38" s="9">
        <v>125</v>
      </c>
      <c r="AL38" s="9" t="s">
        <v>44</v>
      </c>
      <c r="AM38" s="9" t="s">
        <v>41</v>
      </c>
      <c r="AN38" s="9" t="s">
        <v>41</v>
      </c>
      <c r="AO38" s="9"/>
      <c r="AP38" s="9" t="s">
        <v>41</v>
      </c>
      <c r="AQ38" s="9" t="s">
        <v>41</v>
      </c>
      <c r="AR38" s="9" t="s">
        <v>41</v>
      </c>
      <c r="AS38" s="9"/>
      <c r="AT38" s="9" t="s">
        <v>41</v>
      </c>
      <c r="AU38" s="9" t="s">
        <v>41</v>
      </c>
      <c r="AV38" s="9" t="s">
        <v>41</v>
      </c>
      <c r="AW38" s="9"/>
      <c r="AX38" s="9" t="s">
        <v>41</v>
      </c>
      <c r="AY38" s="9" t="s">
        <v>41</v>
      </c>
      <c r="AZ38" s="9" t="s">
        <v>41</v>
      </c>
      <c r="BA38" s="9"/>
      <c r="BB38" s="9" t="s">
        <v>41</v>
      </c>
      <c r="BC38" s="9" t="s">
        <v>41</v>
      </c>
      <c r="BD38" s="9"/>
      <c r="BE38" s="9">
        <v>0</v>
      </c>
      <c r="BJ38" s="9"/>
      <c r="BK38" s="9">
        <v>73</v>
      </c>
      <c r="BL38" s="9" t="s">
        <v>72</v>
      </c>
      <c r="BM38" s="9"/>
      <c r="BN38" s="9"/>
      <c r="BO38" s="9" t="s">
        <v>41</v>
      </c>
      <c r="BP38" s="9"/>
      <c r="BQ38" s="9"/>
      <c r="BR38" s="9" t="s">
        <v>41</v>
      </c>
      <c r="BS38" s="9"/>
      <c r="BT38" s="9"/>
      <c r="BU38" s="9" t="s">
        <v>41</v>
      </c>
      <c r="BV38" s="9"/>
      <c r="BW38" s="9"/>
      <c r="BX38" s="9" t="s">
        <v>41</v>
      </c>
      <c r="BY38" s="9" t="s">
        <v>41</v>
      </c>
      <c r="BZ38" s="9"/>
      <c r="CA38" s="9">
        <v>0</v>
      </c>
      <c r="CB38" s="1"/>
      <c r="CC38" s="1"/>
    </row>
    <row r="39" spans="2:81" ht="18" x14ac:dyDescent="0.2">
      <c r="B39">
        <v>31</v>
      </c>
      <c r="C39" s="24"/>
      <c r="D39" s="24"/>
      <c r="E39" s="24"/>
      <c r="O39" s="1"/>
      <c r="P39" s="1"/>
      <c r="Q39" s="1"/>
      <c r="R39" s="9">
        <v>31</v>
      </c>
      <c r="S39" s="9">
        <v>65</v>
      </c>
      <c r="T39" s="9" t="s">
        <v>69</v>
      </c>
      <c r="U39" s="9">
        <v>40</v>
      </c>
      <c r="V39" s="9">
        <v>22.3</v>
      </c>
      <c r="W39" s="9">
        <v>79</v>
      </c>
      <c r="X39" s="9"/>
      <c r="Y39" s="9"/>
      <c r="Z39" s="9"/>
      <c r="AA39" s="9"/>
      <c r="AB39" s="9"/>
      <c r="AC39" s="9">
        <v>-4</v>
      </c>
      <c r="AD39" s="9">
        <v>137.30000000000001</v>
      </c>
      <c r="AJ39" s="9"/>
      <c r="AK39" s="9">
        <v>133</v>
      </c>
      <c r="AL39" s="9" t="s">
        <v>67</v>
      </c>
      <c r="AM39" s="9" t="s">
        <v>41</v>
      </c>
      <c r="AN39" s="9" t="s">
        <v>41</v>
      </c>
      <c r="AO39" s="9"/>
      <c r="AP39" s="9" t="s">
        <v>41</v>
      </c>
      <c r="AQ39" s="9" t="s">
        <v>41</v>
      </c>
      <c r="AR39" s="9" t="s">
        <v>41</v>
      </c>
      <c r="AS39" s="9"/>
      <c r="AT39" s="9" t="s">
        <v>41</v>
      </c>
      <c r="AU39" s="9" t="s">
        <v>41</v>
      </c>
      <c r="AV39" s="9" t="s">
        <v>41</v>
      </c>
      <c r="AW39" s="9"/>
      <c r="AX39" s="9" t="s">
        <v>41</v>
      </c>
      <c r="AY39" s="9" t="s">
        <v>41</v>
      </c>
      <c r="AZ39" s="9" t="s">
        <v>41</v>
      </c>
      <c r="BA39" s="9"/>
      <c r="BB39" s="9" t="s">
        <v>41</v>
      </c>
      <c r="BC39" s="9" t="s">
        <v>41</v>
      </c>
      <c r="BD39" s="9"/>
      <c r="BE39" s="9">
        <v>0</v>
      </c>
      <c r="BJ39" s="9"/>
      <c r="BK39" s="9">
        <v>81</v>
      </c>
      <c r="BL39" s="9" t="s">
        <v>73</v>
      </c>
      <c r="BM39" s="9"/>
      <c r="BN39" s="9"/>
      <c r="BO39" s="9" t="s">
        <v>41</v>
      </c>
      <c r="BP39" s="9"/>
      <c r="BQ39" s="9"/>
      <c r="BR39" s="9" t="s">
        <v>41</v>
      </c>
      <c r="BS39" s="9"/>
      <c r="BT39" s="9"/>
      <c r="BU39" s="9" t="s">
        <v>41</v>
      </c>
      <c r="BV39" s="9"/>
      <c r="BW39" s="9"/>
      <c r="BX39" s="9" t="s">
        <v>41</v>
      </c>
      <c r="BY39" s="9" t="s">
        <v>41</v>
      </c>
      <c r="BZ39" s="9"/>
      <c r="CA39" s="9">
        <v>0</v>
      </c>
      <c r="CB39" s="1"/>
      <c r="CC39" s="1"/>
    </row>
    <row r="40" spans="2:81" ht="18" x14ac:dyDescent="0.2">
      <c r="B40">
        <v>32</v>
      </c>
      <c r="C40" s="24"/>
      <c r="D40" s="24"/>
      <c r="E40" s="24"/>
      <c r="O40" s="1"/>
      <c r="P40" s="1"/>
      <c r="Q40" s="1"/>
      <c r="R40" s="9">
        <v>32</v>
      </c>
      <c r="S40" s="9">
        <v>81</v>
      </c>
      <c r="T40" s="9" t="s">
        <v>73</v>
      </c>
      <c r="U40" s="9">
        <v>44.5</v>
      </c>
      <c r="V40" s="9">
        <v>34</v>
      </c>
      <c r="W40" s="9">
        <v>73</v>
      </c>
      <c r="X40" s="9"/>
      <c r="Y40" s="9"/>
      <c r="Z40" s="9"/>
      <c r="AA40" s="9"/>
      <c r="AB40" s="9"/>
      <c r="AC40" s="9">
        <v>-17</v>
      </c>
      <c r="AD40" s="9">
        <v>134.5</v>
      </c>
      <c r="AJ40" s="9"/>
      <c r="AK40" s="9">
        <v>165</v>
      </c>
      <c r="AL40" s="9" t="s">
        <v>52</v>
      </c>
      <c r="AM40" s="9" t="s">
        <v>41</v>
      </c>
      <c r="AN40" s="9" t="s">
        <v>41</v>
      </c>
      <c r="AO40" s="9"/>
      <c r="AP40" s="9" t="s">
        <v>41</v>
      </c>
      <c r="AQ40" s="9" t="s">
        <v>41</v>
      </c>
      <c r="AR40" s="9" t="s">
        <v>41</v>
      </c>
      <c r="AS40" s="9"/>
      <c r="AT40" s="9" t="s">
        <v>41</v>
      </c>
      <c r="AU40" s="9" t="s">
        <v>41</v>
      </c>
      <c r="AV40" s="9" t="s">
        <v>41</v>
      </c>
      <c r="AW40" s="9"/>
      <c r="AX40" s="9" t="s">
        <v>41</v>
      </c>
      <c r="AY40" s="9" t="s">
        <v>41</v>
      </c>
      <c r="AZ40" s="9" t="s">
        <v>41</v>
      </c>
      <c r="BA40" s="9"/>
      <c r="BB40" s="9" t="s">
        <v>41</v>
      </c>
      <c r="BC40" s="9" t="s">
        <v>41</v>
      </c>
      <c r="BD40" s="9"/>
      <c r="BE40" s="9">
        <v>0</v>
      </c>
      <c r="BJ40" s="9"/>
      <c r="BK40" s="9">
        <v>83</v>
      </c>
      <c r="BL40" s="9" t="s">
        <v>74</v>
      </c>
      <c r="BM40" s="9"/>
      <c r="BN40" s="9"/>
      <c r="BO40" s="9" t="s">
        <v>41</v>
      </c>
      <c r="BP40" s="9"/>
      <c r="BQ40" s="9"/>
      <c r="BR40" s="9" t="s">
        <v>41</v>
      </c>
      <c r="BS40" s="9"/>
      <c r="BT40" s="9"/>
      <c r="BU40" s="9" t="s">
        <v>41</v>
      </c>
      <c r="BV40" s="9"/>
      <c r="BW40" s="9"/>
      <c r="BX40" s="9" t="s">
        <v>41</v>
      </c>
      <c r="BY40" s="9" t="s">
        <v>41</v>
      </c>
      <c r="BZ40" s="9"/>
      <c r="CA40" s="9">
        <v>0</v>
      </c>
      <c r="CB40" s="1"/>
      <c r="CC40" s="1"/>
    </row>
    <row r="41" spans="2:81" ht="18" x14ac:dyDescent="0.2">
      <c r="B41">
        <v>33</v>
      </c>
      <c r="C41" s="24"/>
      <c r="D41" s="24"/>
      <c r="E41" s="24"/>
      <c r="O41" s="1"/>
      <c r="P41" s="1"/>
      <c r="Q41" s="1"/>
      <c r="R41" s="9">
        <v>33</v>
      </c>
      <c r="S41" s="9">
        <v>63</v>
      </c>
      <c r="T41" s="9" t="s">
        <v>68</v>
      </c>
      <c r="U41" s="9">
        <v>33.9</v>
      </c>
      <c r="V41" s="9">
        <v>32.4</v>
      </c>
      <c r="W41" s="9">
        <v>69</v>
      </c>
      <c r="X41" s="9"/>
      <c r="Y41" s="9"/>
      <c r="Z41" s="9"/>
      <c r="AA41" s="9"/>
      <c r="AB41" s="9"/>
      <c r="AC41" s="9">
        <v>-33</v>
      </c>
      <c r="AD41" s="9">
        <v>102.3</v>
      </c>
      <c r="AJ41" s="9"/>
      <c r="AK41" s="9">
        <v>415</v>
      </c>
      <c r="AL41" s="9" t="s">
        <v>57</v>
      </c>
      <c r="AM41" s="9" t="s">
        <v>41</v>
      </c>
      <c r="AN41" s="9" t="s">
        <v>41</v>
      </c>
      <c r="AO41" s="9"/>
      <c r="AP41" s="9" t="s">
        <v>41</v>
      </c>
      <c r="AQ41" s="9" t="s">
        <v>41</v>
      </c>
      <c r="AR41" s="9" t="s">
        <v>41</v>
      </c>
      <c r="AS41" s="9"/>
      <c r="AT41" s="9" t="s">
        <v>41</v>
      </c>
      <c r="AU41" s="9" t="s">
        <v>41</v>
      </c>
      <c r="AV41" s="9" t="s">
        <v>41</v>
      </c>
      <c r="AW41" s="9"/>
      <c r="AX41" s="9" t="s">
        <v>41</v>
      </c>
      <c r="AY41" s="9" t="s">
        <v>41</v>
      </c>
      <c r="AZ41" s="9" t="s">
        <v>41</v>
      </c>
      <c r="BA41" s="9"/>
      <c r="BB41" s="9" t="s">
        <v>41</v>
      </c>
      <c r="BC41" s="9" t="s">
        <v>41</v>
      </c>
      <c r="BD41" s="9"/>
      <c r="BE41" s="9">
        <v>0</v>
      </c>
      <c r="BJ41" s="9"/>
      <c r="BK41" s="9">
        <v>84</v>
      </c>
      <c r="BL41" s="9" t="s">
        <v>70</v>
      </c>
      <c r="BM41" s="9"/>
      <c r="BN41" s="9"/>
      <c r="BO41" s="9" t="s">
        <v>41</v>
      </c>
      <c r="BP41" s="9"/>
      <c r="BQ41" s="9"/>
      <c r="BR41" s="9" t="s">
        <v>41</v>
      </c>
      <c r="BS41" s="9"/>
      <c r="BT41" s="9"/>
      <c r="BU41" s="9" t="s">
        <v>41</v>
      </c>
      <c r="BV41" s="9"/>
      <c r="BW41" s="9"/>
      <c r="BX41" s="9" t="s">
        <v>41</v>
      </c>
      <c r="BY41" s="9" t="s">
        <v>41</v>
      </c>
      <c r="BZ41" s="9"/>
      <c r="CA41" s="9">
        <v>0</v>
      </c>
      <c r="CB41" s="1"/>
      <c r="CC41" s="1"/>
    </row>
    <row r="42" spans="2:81" ht="18" x14ac:dyDescent="0.2">
      <c r="B42">
        <v>34</v>
      </c>
      <c r="C42" s="24"/>
      <c r="D42" s="24"/>
      <c r="E42" s="24"/>
      <c r="O42" s="1"/>
      <c r="P42" s="1"/>
      <c r="Q42" s="1"/>
      <c r="R42" s="9">
        <v>34</v>
      </c>
      <c r="S42" s="9">
        <v>83</v>
      </c>
      <c r="T42" s="9" t="s">
        <v>74</v>
      </c>
      <c r="U42" s="9">
        <v>41.2</v>
      </c>
      <c r="V42" s="9">
        <v>22.8</v>
      </c>
      <c r="W42" s="9">
        <v>61</v>
      </c>
      <c r="X42" s="9"/>
      <c r="Y42" s="9"/>
      <c r="Z42" s="9"/>
      <c r="AA42" s="9"/>
      <c r="AB42" s="9"/>
      <c r="AC42" s="9">
        <v>-28</v>
      </c>
      <c r="AD42" s="9">
        <v>97</v>
      </c>
      <c r="AJ42" s="9"/>
      <c r="AK42" s="9">
        <v>443</v>
      </c>
      <c r="AL42" s="9" t="s">
        <v>60</v>
      </c>
      <c r="AM42" s="9" t="s">
        <v>41</v>
      </c>
      <c r="AN42" s="9" t="s">
        <v>41</v>
      </c>
      <c r="AO42" s="9"/>
      <c r="AP42" s="9" t="s">
        <v>41</v>
      </c>
      <c r="AQ42" s="9" t="s">
        <v>41</v>
      </c>
      <c r="AR42" s="9" t="s">
        <v>41</v>
      </c>
      <c r="AS42" s="9"/>
      <c r="AT42" s="9" t="s">
        <v>41</v>
      </c>
      <c r="AU42" s="9" t="s">
        <v>41</v>
      </c>
      <c r="AV42" s="9" t="s">
        <v>41</v>
      </c>
      <c r="AW42" s="9"/>
      <c r="AX42" s="9" t="s">
        <v>41</v>
      </c>
      <c r="AY42" s="9" t="s">
        <v>41</v>
      </c>
      <c r="AZ42" s="9" t="s">
        <v>41</v>
      </c>
      <c r="BA42" s="9"/>
      <c r="BB42" s="9" t="s">
        <v>41</v>
      </c>
      <c r="BC42" s="9" t="s">
        <v>41</v>
      </c>
      <c r="BD42" s="9"/>
      <c r="BE42" s="9">
        <v>0</v>
      </c>
      <c r="BJ42" s="9"/>
      <c r="BK42" s="9">
        <v>99</v>
      </c>
      <c r="BL42" s="9" t="s">
        <v>75</v>
      </c>
      <c r="BM42" s="9"/>
      <c r="BN42" s="9"/>
      <c r="BO42" s="9" t="s">
        <v>41</v>
      </c>
      <c r="BP42" s="9"/>
      <c r="BQ42" s="9"/>
      <c r="BR42" s="9" t="s">
        <v>41</v>
      </c>
      <c r="BS42" s="9"/>
      <c r="BT42" s="9"/>
      <c r="BU42" s="9" t="s">
        <v>41</v>
      </c>
      <c r="BV42" s="9"/>
      <c r="BW42" s="9"/>
      <c r="BX42" s="9" t="s">
        <v>41</v>
      </c>
      <c r="BY42" s="9" t="s">
        <v>41</v>
      </c>
      <c r="BZ42" s="9"/>
      <c r="CA42" s="9">
        <v>0</v>
      </c>
      <c r="CB42" s="1"/>
      <c r="CC42" s="1"/>
    </row>
    <row r="43" spans="2:81" ht="18" x14ac:dyDescent="0.2">
      <c r="B43">
        <v>35</v>
      </c>
      <c r="C43" s="24"/>
      <c r="D43" s="24"/>
      <c r="E43" s="24"/>
      <c r="O43" s="1"/>
      <c r="P43" s="1"/>
      <c r="Q43" s="1"/>
      <c r="R43" s="9">
        <v>35</v>
      </c>
      <c r="S43" s="9">
        <v>13</v>
      </c>
      <c r="T43" s="9" t="s">
        <v>58</v>
      </c>
      <c r="U43" s="9">
        <v>27</v>
      </c>
      <c r="V43" s="9">
        <v>14.9</v>
      </c>
      <c r="W43" s="9">
        <v>65</v>
      </c>
      <c r="X43" s="9"/>
      <c r="Y43" s="9">
        <v>3.8</v>
      </c>
      <c r="Z43" s="9">
        <v>5</v>
      </c>
      <c r="AA43" s="9"/>
      <c r="AB43" s="9"/>
      <c r="AC43" s="9">
        <v>-26</v>
      </c>
      <c r="AD43" s="9">
        <v>89.6</v>
      </c>
      <c r="AJ43" s="9"/>
      <c r="AK43" s="9">
        <v>454</v>
      </c>
      <c r="AL43" s="9" t="s">
        <v>48</v>
      </c>
      <c r="AM43" s="9">
        <v>5.1440000000000001</v>
      </c>
      <c r="AN43" s="9">
        <v>5.0350000000000001</v>
      </c>
      <c r="AO43" s="9"/>
      <c r="AP43" s="9" t="s">
        <v>49</v>
      </c>
      <c r="AQ43" s="9">
        <v>5.09</v>
      </c>
      <c r="AR43" s="9">
        <v>5.0119999999999996</v>
      </c>
      <c r="AS43" s="9"/>
      <c r="AT43" s="9" t="s">
        <v>49</v>
      </c>
      <c r="AU43" s="9" t="s">
        <v>41</v>
      </c>
      <c r="AV43" s="9" t="s">
        <v>41</v>
      </c>
      <c r="AW43" s="9"/>
      <c r="AX43" s="9" t="s">
        <v>41</v>
      </c>
      <c r="AY43" s="9" t="s">
        <v>41</v>
      </c>
      <c r="AZ43" s="9" t="s">
        <v>41</v>
      </c>
      <c r="BA43" s="9"/>
      <c r="BB43" s="9" t="s">
        <v>41</v>
      </c>
      <c r="BC43" s="9" t="s">
        <v>41</v>
      </c>
      <c r="BD43" s="9"/>
      <c r="BE43" s="9">
        <v>0</v>
      </c>
      <c r="BJ43" s="9"/>
      <c r="BK43" s="9">
        <v>119</v>
      </c>
      <c r="BL43" s="9" t="s">
        <v>76</v>
      </c>
      <c r="BM43" s="9"/>
      <c r="BN43" s="9"/>
      <c r="BO43" s="9" t="s">
        <v>41</v>
      </c>
      <c r="BP43" s="9"/>
      <c r="BQ43" s="9"/>
      <c r="BR43" s="9" t="s">
        <v>41</v>
      </c>
      <c r="BS43" s="9"/>
      <c r="BT43" s="9"/>
      <c r="BU43" s="9" t="s">
        <v>41</v>
      </c>
      <c r="BV43" s="9"/>
      <c r="BW43" s="9"/>
      <c r="BX43" s="9" t="s">
        <v>41</v>
      </c>
      <c r="BY43" s="9" t="s">
        <v>41</v>
      </c>
      <c r="BZ43" s="9"/>
      <c r="CA43" s="9">
        <v>0</v>
      </c>
      <c r="CB43" s="1"/>
      <c r="CC43" s="1"/>
    </row>
    <row r="44" spans="2:81" ht="18" x14ac:dyDescent="0.2">
      <c r="B44">
        <v>36</v>
      </c>
      <c r="C44" s="24"/>
      <c r="D44" s="24"/>
      <c r="E44" s="24"/>
      <c r="O44" s="1"/>
      <c r="P44" s="1"/>
      <c r="Q44" s="1"/>
      <c r="R44" s="9">
        <v>36</v>
      </c>
      <c r="S44" s="9">
        <v>18</v>
      </c>
      <c r="T44" s="9" t="s">
        <v>61</v>
      </c>
      <c r="U44" s="9">
        <v>27.7</v>
      </c>
      <c r="V44" s="9">
        <v>19.100000000000001</v>
      </c>
      <c r="W44" s="9">
        <v>60</v>
      </c>
      <c r="X44" s="9"/>
      <c r="Y44" s="9"/>
      <c r="Z44" s="9"/>
      <c r="AA44" s="9"/>
      <c r="AB44" s="9"/>
      <c r="AC44" s="9">
        <v>-25</v>
      </c>
      <c r="AD44" s="9">
        <v>81.900000000000006</v>
      </c>
      <c r="AJ44" s="9"/>
      <c r="AK44" s="9">
        <v>468</v>
      </c>
      <c r="AL44" s="9" t="s">
        <v>64</v>
      </c>
      <c r="AM44" s="9" t="s">
        <v>41</v>
      </c>
      <c r="AN44" s="9" t="s">
        <v>41</v>
      </c>
      <c r="AO44" s="9"/>
      <c r="AP44" s="9" t="s">
        <v>41</v>
      </c>
      <c r="AQ44" s="9" t="s">
        <v>41</v>
      </c>
      <c r="AR44" s="9" t="s">
        <v>41</v>
      </c>
      <c r="AS44" s="9"/>
      <c r="AT44" s="9" t="s">
        <v>41</v>
      </c>
      <c r="AU44" s="9" t="s">
        <v>41</v>
      </c>
      <c r="AV44" s="9" t="s">
        <v>41</v>
      </c>
      <c r="AW44" s="9"/>
      <c r="AX44" s="9" t="s">
        <v>41</v>
      </c>
      <c r="AY44" s="9" t="s">
        <v>41</v>
      </c>
      <c r="AZ44" s="9" t="s">
        <v>41</v>
      </c>
      <c r="BA44" s="9"/>
      <c r="BB44" s="9" t="s">
        <v>41</v>
      </c>
      <c r="BC44" s="9" t="s">
        <v>41</v>
      </c>
      <c r="BD44" s="9"/>
      <c r="BE44" s="9">
        <v>0</v>
      </c>
      <c r="BJ44" s="9"/>
      <c r="BK44" s="9">
        <v>133</v>
      </c>
      <c r="BL44" s="9" t="s">
        <v>67</v>
      </c>
      <c r="BM44" s="9"/>
      <c r="BN44" s="9"/>
      <c r="BO44" s="9" t="s">
        <v>41</v>
      </c>
      <c r="BP44" s="9"/>
      <c r="BQ44" s="9"/>
      <c r="BR44" s="9" t="s">
        <v>41</v>
      </c>
      <c r="BS44" s="9"/>
      <c r="BT44" s="9"/>
      <c r="BU44" s="9" t="s">
        <v>41</v>
      </c>
      <c r="BV44" s="9"/>
      <c r="BW44" s="9"/>
      <c r="BX44" s="9" t="s">
        <v>41</v>
      </c>
      <c r="BY44" s="9" t="s">
        <v>41</v>
      </c>
      <c r="BZ44" s="9"/>
      <c r="CA44" s="9">
        <v>0</v>
      </c>
      <c r="CB44" s="1"/>
      <c r="CC44" s="1"/>
    </row>
    <row r="45" spans="2:81" ht="18" x14ac:dyDescent="0.2">
      <c r="B45">
        <v>37</v>
      </c>
      <c r="C45" s="24"/>
      <c r="D45" s="24"/>
      <c r="E45" s="24"/>
      <c r="O45" s="1"/>
      <c r="P45" s="1"/>
      <c r="Q45" s="1"/>
      <c r="R45" s="9">
        <v>37</v>
      </c>
      <c r="S45" s="9">
        <v>99</v>
      </c>
      <c r="T45" s="9" t="s">
        <v>75</v>
      </c>
      <c r="U45" s="9">
        <v>55.2</v>
      </c>
      <c r="V45" s="9"/>
      <c r="W45" s="9"/>
      <c r="X45" s="9"/>
      <c r="Y45" s="9"/>
      <c r="Z45" s="9"/>
      <c r="AA45" s="9"/>
      <c r="AB45" s="9"/>
      <c r="AC45" s="9">
        <v>-12</v>
      </c>
      <c r="AD45" s="9">
        <v>43.2</v>
      </c>
      <c r="AJ45" s="9"/>
      <c r="AK45" s="9">
        <v>492</v>
      </c>
      <c r="AL45" s="9" t="s">
        <v>54</v>
      </c>
      <c r="AM45" s="9" t="s">
        <v>41</v>
      </c>
      <c r="AN45" s="9" t="s">
        <v>41</v>
      </c>
      <c r="AO45" s="9"/>
      <c r="AP45" s="9" t="s">
        <v>41</v>
      </c>
      <c r="AQ45" s="9" t="s">
        <v>41</v>
      </c>
      <c r="AR45" s="9" t="s">
        <v>41</v>
      </c>
      <c r="AS45" s="9"/>
      <c r="AT45" s="9" t="s">
        <v>41</v>
      </c>
      <c r="AU45" s="9" t="s">
        <v>41</v>
      </c>
      <c r="AV45" s="9" t="s">
        <v>41</v>
      </c>
      <c r="AW45" s="9"/>
      <c r="AX45" s="9" t="s">
        <v>41</v>
      </c>
      <c r="AY45" s="9" t="s">
        <v>41</v>
      </c>
      <c r="AZ45" s="9" t="s">
        <v>41</v>
      </c>
      <c r="BA45" s="9"/>
      <c r="BB45" s="9" t="s">
        <v>41</v>
      </c>
      <c r="BC45" s="9" t="s">
        <v>41</v>
      </c>
      <c r="BD45" s="9"/>
      <c r="BE45" s="9">
        <v>0</v>
      </c>
      <c r="BJ45" s="9"/>
      <c r="BK45" s="9">
        <v>415</v>
      </c>
      <c r="BL45" s="9" t="s">
        <v>57</v>
      </c>
      <c r="BM45" s="9"/>
      <c r="BN45" s="9"/>
      <c r="BO45" s="9" t="s">
        <v>41</v>
      </c>
      <c r="BP45" s="9"/>
      <c r="BQ45" s="9"/>
      <c r="BR45" s="9" t="s">
        <v>41</v>
      </c>
      <c r="BS45" s="9"/>
      <c r="BT45" s="9"/>
      <c r="BU45" s="9" t="s">
        <v>41</v>
      </c>
      <c r="BV45" s="9"/>
      <c r="BW45" s="9"/>
      <c r="BX45" s="9" t="s">
        <v>41</v>
      </c>
      <c r="BY45" s="9" t="s">
        <v>41</v>
      </c>
      <c r="BZ45" s="9"/>
      <c r="CA45" s="9">
        <v>0</v>
      </c>
      <c r="CB45" s="1"/>
      <c r="CC45" s="1"/>
    </row>
    <row r="46" spans="2:81" ht="14" customHeight="1" x14ac:dyDescent="0.2">
      <c r="O46" s="1"/>
      <c r="P46" s="1"/>
      <c r="Q46" s="1"/>
      <c r="R46" s="2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J46" s="3"/>
      <c r="BJ46" s="9"/>
      <c r="BK46" s="9">
        <v>443</v>
      </c>
      <c r="BL46" s="9" t="s">
        <v>60</v>
      </c>
      <c r="BM46" s="9"/>
      <c r="BN46" s="9"/>
      <c r="BO46" s="9" t="s">
        <v>41</v>
      </c>
      <c r="BP46" s="9"/>
      <c r="BQ46" s="9"/>
      <c r="BR46" s="9" t="s">
        <v>41</v>
      </c>
      <c r="BS46" s="9"/>
      <c r="BT46" s="9"/>
      <c r="BU46" s="9" t="s">
        <v>41</v>
      </c>
      <c r="BV46" s="9"/>
      <c r="BW46" s="9"/>
      <c r="BX46" s="9" t="s">
        <v>41</v>
      </c>
      <c r="BY46" s="9" t="s">
        <v>41</v>
      </c>
      <c r="BZ46" s="9"/>
      <c r="CA46" s="9">
        <v>0</v>
      </c>
      <c r="CB46" s="1"/>
      <c r="CC46" s="1"/>
    </row>
    <row r="47" spans="2:81" ht="37" x14ac:dyDescent="0.45">
      <c r="R47" s="4"/>
      <c r="AJ47" s="20"/>
      <c r="AK47" s="25" t="s">
        <v>78</v>
      </c>
      <c r="AL47" s="25"/>
      <c r="AM47" s="14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J47" s="9"/>
      <c r="BK47" s="9">
        <v>468</v>
      </c>
      <c r="BL47" s="9" t="s">
        <v>64</v>
      </c>
      <c r="BM47" s="9"/>
      <c r="BN47" s="9"/>
      <c r="BO47" s="9" t="s">
        <v>41</v>
      </c>
      <c r="BP47" s="9"/>
      <c r="BQ47" s="9"/>
      <c r="BR47" s="9" t="s">
        <v>41</v>
      </c>
      <c r="BS47" s="9"/>
      <c r="BT47" s="9"/>
      <c r="BU47" s="9" t="s">
        <v>41</v>
      </c>
      <c r="BV47" s="1"/>
      <c r="BW47" s="1"/>
      <c r="BX47" s="1"/>
      <c r="BY47" s="1"/>
      <c r="BZ47" s="1"/>
      <c r="CA47" s="1"/>
      <c r="CB47" s="1"/>
      <c r="CC47" s="1"/>
    </row>
    <row r="48" spans="2:81" ht="14.5" customHeight="1" x14ac:dyDescent="0.45">
      <c r="AJ48" s="1"/>
      <c r="AK48" s="25"/>
      <c r="AL48" s="25"/>
      <c r="AM48" s="14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36:81" ht="14.5" customHeight="1" x14ac:dyDescent="0.45">
      <c r="AJ49" s="1"/>
      <c r="AK49" s="25"/>
      <c r="AL49" s="25"/>
      <c r="AM49" s="14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36:81" ht="18" x14ac:dyDescent="0.2"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J50" s="1"/>
      <c r="BK50" s="1"/>
      <c r="BL50" s="9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36:81" ht="18" x14ac:dyDescent="0.2">
      <c r="AJ51" s="8" t="s">
        <v>3</v>
      </c>
      <c r="AK51" s="8" t="s">
        <v>4</v>
      </c>
      <c r="AL51" s="8" t="s">
        <v>5</v>
      </c>
      <c r="AM51" s="8" t="s">
        <v>36</v>
      </c>
      <c r="AN51" s="8" t="s">
        <v>18</v>
      </c>
      <c r="AO51" s="8" t="s">
        <v>79</v>
      </c>
      <c r="AP51" s="8" t="s">
        <v>19</v>
      </c>
      <c r="AQ51" s="8" t="s">
        <v>37</v>
      </c>
      <c r="AR51" s="8" t="s">
        <v>22</v>
      </c>
      <c r="AS51" s="8" t="s">
        <v>80</v>
      </c>
      <c r="AT51" s="8" t="s">
        <v>23</v>
      </c>
      <c r="AU51" s="8" t="s">
        <v>38</v>
      </c>
      <c r="AV51" s="8" t="s">
        <v>26</v>
      </c>
      <c r="AW51" s="8" t="s">
        <v>81</v>
      </c>
      <c r="AX51" s="8" t="s">
        <v>27</v>
      </c>
      <c r="AY51" s="8" t="s">
        <v>39</v>
      </c>
      <c r="AZ51" s="8" t="s">
        <v>30</v>
      </c>
      <c r="BA51" s="8" t="s">
        <v>82</v>
      </c>
      <c r="BB51" s="8" t="s">
        <v>31</v>
      </c>
      <c r="BC51" s="8" t="s">
        <v>32</v>
      </c>
      <c r="BD51" s="8" t="s">
        <v>14</v>
      </c>
      <c r="BE51" s="8" t="s">
        <v>33</v>
      </c>
      <c r="BF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36:81" ht="18" x14ac:dyDescent="0.2">
      <c r="AJ52" s="9">
        <v>1</v>
      </c>
      <c r="AK52" s="9">
        <v>426</v>
      </c>
      <c r="AL52" s="9" t="s">
        <v>35</v>
      </c>
      <c r="AM52" s="9">
        <v>80.793000000000006</v>
      </c>
      <c r="AN52" s="9"/>
      <c r="AO52" s="9"/>
      <c r="AP52" s="9">
        <v>80.793000000000006</v>
      </c>
      <c r="AQ52" s="9">
        <v>78.284999999999997</v>
      </c>
      <c r="AR52" s="9">
        <v>6</v>
      </c>
      <c r="AS52" s="9"/>
      <c r="AT52" s="9">
        <v>90.284999999999997</v>
      </c>
      <c r="AU52" s="9">
        <v>81.108999999999995</v>
      </c>
      <c r="AV52" s="9"/>
      <c r="AW52" s="9"/>
      <c r="AX52" s="9">
        <v>81.108999999999995</v>
      </c>
      <c r="AY52" s="9">
        <v>77.209999999999994</v>
      </c>
      <c r="AZ52" s="9"/>
      <c r="BA52" s="9"/>
      <c r="BB52" s="9">
        <v>77.209999999999994</v>
      </c>
      <c r="BC52" s="9">
        <v>77.209999999999994</v>
      </c>
      <c r="BD52" s="9"/>
      <c r="BE52" s="9">
        <v>100</v>
      </c>
      <c r="BF52" s="1"/>
      <c r="BJ52" s="26" t="s">
        <v>83</v>
      </c>
      <c r="BK52" s="26"/>
      <c r="BL52" s="26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36:81" ht="18" x14ac:dyDescent="0.2">
      <c r="AJ53" s="9">
        <v>2</v>
      </c>
      <c r="AK53" s="9">
        <v>94</v>
      </c>
      <c r="AL53" s="9" t="s">
        <v>42</v>
      </c>
      <c r="AM53" s="9">
        <v>81.662000000000006</v>
      </c>
      <c r="AN53" s="9"/>
      <c r="AO53" s="9"/>
      <c r="AP53" s="9">
        <v>81.662000000000006</v>
      </c>
      <c r="AQ53" s="9">
        <v>78.418000000000006</v>
      </c>
      <c r="AR53" s="9"/>
      <c r="AS53" s="9"/>
      <c r="AT53" s="9">
        <v>78.418000000000006</v>
      </c>
      <c r="AU53" s="9" t="s">
        <v>41</v>
      </c>
      <c r="AV53" s="9" t="s">
        <v>41</v>
      </c>
      <c r="AW53" s="9"/>
      <c r="AX53" s="9" t="s">
        <v>41</v>
      </c>
      <c r="AY53" s="9" t="s">
        <v>41</v>
      </c>
      <c r="AZ53" s="9" t="s">
        <v>41</v>
      </c>
      <c r="BA53" s="9"/>
      <c r="BB53" s="9" t="s">
        <v>41</v>
      </c>
      <c r="BC53" s="9">
        <v>78.418000000000006</v>
      </c>
      <c r="BD53" s="9"/>
      <c r="BE53" s="9">
        <v>92.7</v>
      </c>
      <c r="BF53" s="1"/>
      <c r="BJ53" s="26"/>
      <c r="BK53" s="26"/>
      <c r="BL53" s="26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36:81" ht="18" x14ac:dyDescent="0.2">
      <c r="AJ54" s="9">
        <v>3</v>
      </c>
      <c r="AK54" s="9">
        <v>431</v>
      </c>
      <c r="AL54" s="9" t="s">
        <v>34</v>
      </c>
      <c r="AM54" s="9">
        <v>86.326999999999998</v>
      </c>
      <c r="AN54" s="9">
        <v>1</v>
      </c>
      <c r="AO54" s="9"/>
      <c r="AP54" s="9">
        <v>88.326999999999998</v>
      </c>
      <c r="AQ54" s="9">
        <v>81.483000000000004</v>
      </c>
      <c r="AR54" s="9"/>
      <c r="AS54" s="9"/>
      <c r="AT54" s="9">
        <v>81.483000000000004</v>
      </c>
      <c r="AU54" s="9">
        <v>79.882000000000005</v>
      </c>
      <c r="AV54" s="9"/>
      <c r="AW54" s="9"/>
      <c r="AX54" s="9">
        <v>79.882000000000005</v>
      </c>
      <c r="AY54" s="9">
        <v>92.456999999999994</v>
      </c>
      <c r="AZ54" s="9">
        <v>3</v>
      </c>
      <c r="BA54" s="9"/>
      <c r="BB54" s="9">
        <v>108.45699999999999</v>
      </c>
      <c r="BC54" s="9">
        <v>79.882000000000005</v>
      </c>
      <c r="BD54" s="9"/>
      <c r="BE54" s="9">
        <v>84.1</v>
      </c>
      <c r="BF54" s="1"/>
      <c r="BJ54" s="26"/>
      <c r="BK54" s="26"/>
      <c r="BL54" s="26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36:81" ht="18" x14ac:dyDescent="0.2">
      <c r="AJ55" s="9">
        <v>4</v>
      </c>
      <c r="AK55" s="9">
        <v>477</v>
      </c>
      <c r="AL55" s="9" t="s">
        <v>40</v>
      </c>
      <c r="AM55" s="9">
        <v>84.08</v>
      </c>
      <c r="AN55" s="9"/>
      <c r="AO55" s="9"/>
      <c r="AP55" s="9" t="s">
        <v>49</v>
      </c>
      <c r="AQ55" s="9">
        <v>82.602000000000004</v>
      </c>
      <c r="AR55" s="9"/>
      <c r="AS55" s="9"/>
      <c r="AT55" s="9" t="s">
        <v>49</v>
      </c>
      <c r="AU55" s="9">
        <v>85.721999999999994</v>
      </c>
      <c r="AV55" s="9"/>
      <c r="AW55" s="9"/>
      <c r="AX55" s="9">
        <v>85.721999999999994</v>
      </c>
      <c r="AY55" s="9">
        <v>83.703000000000003</v>
      </c>
      <c r="AZ55" s="9">
        <v>3</v>
      </c>
      <c r="BA55" s="9"/>
      <c r="BB55" s="9">
        <v>89.703000000000003</v>
      </c>
      <c r="BC55" s="9">
        <v>85.721999999999994</v>
      </c>
      <c r="BD55" s="9"/>
      <c r="BE55" s="9">
        <v>52.8</v>
      </c>
      <c r="BF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36:81" ht="18" x14ac:dyDescent="0.2">
      <c r="AJ56" s="9">
        <v>5</v>
      </c>
      <c r="AK56" s="9">
        <v>125</v>
      </c>
      <c r="AL56" s="9" t="s">
        <v>44</v>
      </c>
      <c r="AM56" s="9">
        <v>97.275999999999996</v>
      </c>
      <c r="AN56" s="9"/>
      <c r="AO56" s="9"/>
      <c r="AP56" s="9">
        <v>97.275999999999996</v>
      </c>
      <c r="AQ56" s="9">
        <v>93.224999999999994</v>
      </c>
      <c r="AR56" s="9"/>
      <c r="AS56" s="9"/>
      <c r="AT56" s="9">
        <v>93.224999999999994</v>
      </c>
      <c r="AU56" s="9">
        <v>90.772999999999996</v>
      </c>
      <c r="AV56" s="9">
        <v>3</v>
      </c>
      <c r="AW56" s="9"/>
      <c r="AX56" s="9">
        <v>105.773</v>
      </c>
      <c r="AY56" s="9">
        <v>96.796999999999997</v>
      </c>
      <c r="AZ56" s="9">
        <v>3</v>
      </c>
      <c r="BA56" s="9"/>
      <c r="BB56" s="9">
        <v>101.797</v>
      </c>
      <c r="BC56" s="9">
        <v>93.224999999999994</v>
      </c>
      <c r="BD56" s="9"/>
      <c r="BE56" s="9">
        <v>18.399999999999999</v>
      </c>
      <c r="BF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36:81" ht="18" x14ac:dyDescent="0.2">
      <c r="AJ57" s="9">
        <v>6</v>
      </c>
      <c r="AK57" s="9">
        <v>14</v>
      </c>
      <c r="AL57" s="9" t="s">
        <v>47</v>
      </c>
      <c r="AM57" s="9">
        <v>97.100999999999999</v>
      </c>
      <c r="AN57" s="9"/>
      <c r="AO57" s="9"/>
      <c r="AP57" s="9">
        <v>97.100999999999999</v>
      </c>
      <c r="AQ57" s="9">
        <v>92.551000000000002</v>
      </c>
      <c r="AR57" s="9"/>
      <c r="AS57" s="9"/>
      <c r="AT57" s="9">
        <v>92.551000000000002</v>
      </c>
      <c r="AU57" s="9" t="s">
        <v>49</v>
      </c>
      <c r="AV57" s="9">
        <v>96.206999999999994</v>
      </c>
      <c r="AW57" s="9"/>
      <c r="AX57" s="9" t="s">
        <v>49</v>
      </c>
      <c r="AY57" s="9"/>
      <c r="AZ57" s="9"/>
      <c r="BA57" s="9" t="s">
        <v>41</v>
      </c>
      <c r="BB57" s="9"/>
      <c r="BC57" s="9">
        <v>97.100999999999999</v>
      </c>
      <c r="BD57" s="9"/>
      <c r="BE57" s="9">
        <v>5</v>
      </c>
      <c r="BF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36:81" ht="18" x14ac:dyDescent="0.2">
      <c r="AJ58" s="9">
        <v>7</v>
      </c>
      <c r="AK58" s="9">
        <v>443</v>
      </c>
      <c r="AL58" s="9" t="s">
        <v>60</v>
      </c>
      <c r="AM58" s="9">
        <v>103.581</v>
      </c>
      <c r="AN58" s="9"/>
      <c r="AO58" s="9"/>
      <c r="AP58" s="9">
        <v>103.581</v>
      </c>
      <c r="AQ58" s="9">
        <v>98.783000000000001</v>
      </c>
      <c r="AR58" s="9">
        <v>5</v>
      </c>
      <c r="AS58" s="9"/>
      <c r="AT58" s="9">
        <v>118.783</v>
      </c>
      <c r="AU58" s="9" t="s">
        <v>41</v>
      </c>
      <c r="AV58" s="9" t="s">
        <v>41</v>
      </c>
      <c r="AW58" s="9"/>
      <c r="AX58" s="9" t="s">
        <v>41</v>
      </c>
      <c r="AY58" s="9" t="s">
        <v>41</v>
      </c>
      <c r="AZ58" s="9" t="s">
        <v>41</v>
      </c>
      <c r="BA58" s="9"/>
      <c r="BB58" s="9" t="s">
        <v>41</v>
      </c>
      <c r="BC58" s="9">
        <v>103.581</v>
      </c>
      <c r="BD58" s="9"/>
      <c r="BE58" s="9">
        <v>5</v>
      </c>
      <c r="BF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36:81" ht="18" x14ac:dyDescent="0.2">
      <c r="AJ59" s="9">
        <v>8</v>
      </c>
      <c r="AK59" s="9">
        <v>165</v>
      </c>
      <c r="AL59" s="9" t="s">
        <v>52</v>
      </c>
      <c r="AM59" s="9">
        <v>104.471</v>
      </c>
      <c r="AN59" s="9"/>
      <c r="AO59" s="9"/>
      <c r="AP59" s="9">
        <v>106.471</v>
      </c>
      <c r="AQ59" s="9">
        <v>90.653000000000006</v>
      </c>
      <c r="AR59" s="9">
        <v>2</v>
      </c>
      <c r="AS59" s="9"/>
      <c r="AT59" s="9">
        <v>110.65300000000001</v>
      </c>
      <c r="AU59" s="9" t="s">
        <v>41</v>
      </c>
      <c r="AV59" s="9" t="s">
        <v>41</v>
      </c>
      <c r="AW59" s="9"/>
      <c r="AX59" s="9" t="s">
        <v>41</v>
      </c>
      <c r="AY59" s="9" t="s">
        <v>41</v>
      </c>
      <c r="AZ59" s="9" t="s">
        <v>41</v>
      </c>
      <c r="BA59" s="9"/>
      <c r="BB59" s="9" t="s">
        <v>41</v>
      </c>
      <c r="BC59" s="9">
        <v>106.471</v>
      </c>
      <c r="BD59" s="9"/>
      <c r="BE59" s="9">
        <v>5</v>
      </c>
      <c r="BF59" s="1"/>
      <c r="BJ59" s="8" t="s">
        <v>3</v>
      </c>
      <c r="BK59" s="8" t="s">
        <v>4</v>
      </c>
      <c r="BL59" s="8" t="s">
        <v>5</v>
      </c>
      <c r="BM59" s="8" t="s">
        <v>84</v>
      </c>
      <c r="BN59" s="8" t="s">
        <v>85</v>
      </c>
      <c r="BO59" s="8" t="s">
        <v>86</v>
      </c>
      <c r="BP59" s="8" t="s">
        <v>87</v>
      </c>
      <c r="BQ59" s="8" t="s">
        <v>88</v>
      </c>
      <c r="BR59" s="8" t="s">
        <v>89</v>
      </c>
      <c r="BS59" s="8" t="s">
        <v>90</v>
      </c>
      <c r="BT59" s="8" t="s">
        <v>91</v>
      </c>
      <c r="BU59" s="1"/>
      <c r="BV59" s="1"/>
      <c r="BW59" s="1"/>
      <c r="BX59" s="1"/>
      <c r="BY59" s="1"/>
      <c r="BZ59" s="1"/>
      <c r="CA59" s="1"/>
      <c r="CB59" s="1"/>
      <c r="CC59" s="1"/>
    </row>
    <row r="60" spans="36:81" ht="18" x14ac:dyDescent="0.2">
      <c r="AJ60" s="9">
        <v>9</v>
      </c>
      <c r="AK60" s="9">
        <v>48</v>
      </c>
      <c r="AL60" s="9" t="s">
        <v>46</v>
      </c>
      <c r="AM60" s="9">
        <v>115.35899999999999</v>
      </c>
      <c r="AN60" s="9"/>
      <c r="AO60" s="9"/>
      <c r="AP60" s="9">
        <v>115.35899999999999</v>
      </c>
      <c r="AQ60" s="9">
        <v>106.459</v>
      </c>
      <c r="AR60" s="9">
        <v>1</v>
      </c>
      <c r="AS60" s="9"/>
      <c r="AT60" s="9">
        <v>107.459</v>
      </c>
      <c r="AU60" s="9" t="s">
        <v>41</v>
      </c>
      <c r="AV60" s="9" t="s">
        <v>41</v>
      </c>
      <c r="AW60" s="9"/>
      <c r="AX60" s="9" t="s">
        <v>41</v>
      </c>
      <c r="AY60" s="9" t="s">
        <v>41</v>
      </c>
      <c r="AZ60" s="9" t="s">
        <v>41</v>
      </c>
      <c r="BA60" s="9"/>
      <c r="BB60" s="9" t="s">
        <v>41</v>
      </c>
      <c r="BC60" s="9">
        <v>107.459</v>
      </c>
      <c r="BD60" s="9"/>
      <c r="BE60" s="9">
        <v>5</v>
      </c>
      <c r="BF60" s="1"/>
      <c r="BJ60" s="9">
        <v>1</v>
      </c>
      <c r="BK60" s="9">
        <v>426</v>
      </c>
      <c r="BL60" s="9" t="s">
        <v>35</v>
      </c>
      <c r="BM60" s="9">
        <v>1198.7370000000001</v>
      </c>
      <c r="BN60" s="9">
        <v>14</v>
      </c>
      <c r="BO60" s="9">
        <v>9</v>
      </c>
      <c r="BP60" s="9"/>
      <c r="BQ60" s="9"/>
      <c r="BR60" s="9">
        <v>1216.7370000000001</v>
      </c>
      <c r="BS60" s="9"/>
      <c r="BT60" s="9">
        <v>325</v>
      </c>
      <c r="BU60" s="1"/>
      <c r="BV60" s="1"/>
      <c r="BW60" s="1"/>
      <c r="BX60" s="1"/>
      <c r="BY60" s="1"/>
      <c r="BZ60" s="1"/>
      <c r="CA60" s="1"/>
      <c r="CB60" s="1"/>
      <c r="CC60" s="1"/>
    </row>
    <row r="61" spans="36:81" ht="18" x14ac:dyDescent="0.2">
      <c r="AJ61" s="9">
        <v>10</v>
      </c>
      <c r="AK61" s="9">
        <v>22</v>
      </c>
      <c r="AL61" s="9" t="s">
        <v>50</v>
      </c>
      <c r="AM61" s="9">
        <v>114.70399999999999</v>
      </c>
      <c r="AN61" s="9"/>
      <c r="AO61" s="9"/>
      <c r="AP61" s="9">
        <v>114.70399999999999</v>
      </c>
      <c r="AQ61" s="9">
        <v>105.99299999999999</v>
      </c>
      <c r="AR61" s="9">
        <v>1</v>
      </c>
      <c r="AS61" s="9"/>
      <c r="AT61" s="9">
        <v>107.99299999999999</v>
      </c>
      <c r="AU61" s="9" t="s">
        <v>41</v>
      </c>
      <c r="AV61" s="9" t="s">
        <v>41</v>
      </c>
      <c r="AW61" s="9"/>
      <c r="AX61" s="9" t="s">
        <v>41</v>
      </c>
      <c r="AY61" s="9" t="s">
        <v>41</v>
      </c>
      <c r="AZ61" s="9" t="s">
        <v>41</v>
      </c>
      <c r="BA61" s="9"/>
      <c r="BB61" s="9" t="s">
        <v>41</v>
      </c>
      <c r="BC61" s="9">
        <v>107.99299999999999</v>
      </c>
      <c r="BD61" s="9"/>
      <c r="BE61" s="9">
        <v>5</v>
      </c>
      <c r="BF61" s="1"/>
      <c r="BJ61" s="9">
        <v>2</v>
      </c>
      <c r="BK61" s="9">
        <v>431</v>
      </c>
      <c r="BL61" s="9" t="s">
        <v>34</v>
      </c>
      <c r="BM61" s="9">
        <v>1211.3879999999999</v>
      </c>
      <c r="BN61" s="9">
        <v>14</v>
      </c>
      <c r="BO61" s="9">
        <v>7</v>
      </c>
      <c r="BP61" s="9"/>
      <c r="BQ61" s="9"/>
      <c r="BR61" s="9">
        <v>1225.3879999999999</v>
      </c>
      <c r="BS61" s="9"/>
      <c r="BT61" s="9">
        <v>316.7</v>
      </c>
      <c r="BU61" s="1"/>
      <c r="BV61" s="1"/>
      <c r="BW61" s="1"/>
      <c r="BX61" s="1"/>
      <c r="BY61" s="1"/>
      <c r="BZ61" s="1"/>
      <c r="CA61" s="1"/>
      <c r="CB61" s="1"/>
      <c r="CC61" s="1"/>
    </row>
    <row r="62" spans="36:81" ht="18" x14ac:dyDescent="0.2">
      <c r="AJ62" s="9">
        <v>11</v>
      </c>
      <c r="AK62" s="9">
        <v>79</v>
      </c>
      <c r="AL62" s="9" t="s">
        <v>59</v>
      </c>
      <c r="AM62" s="9">
        <v>126.494</v>
      </c>
      <c r="AN62" s="9">
        <v>2</v>
      </c>
      <c r="AO62" s="9"/>
      <c r="AP62" s="9">
        <v>130.494</v>
      </c>
      <c r="AQ62" s="9" t="s">
        <v>92</v>
      </c>
      <c r="AR62" s="9"/>
      <c r="AS62" s="9"/>
      <c r="AT62" s="9" t="s">
        <v>92</v>
      </c>
      <c r="AU62" s="9" t="s">
        <v>41</v>
      </c>
      <c r="AV62" s="9" t="s">
        <v>41</v>
      </c>
      <c r="AW62" s="9"/>
      <c r="AX62" s="9" t="s">
        <v>41</v>
      </c>
      <c r="AY62" s="9" t="s">
        <v>41</v>
      </c>
      <c r="AZ62" s="9" t="s">
        <v>41</v>
      </c>
      <c r="BA62" s="9"/>
      <c r="BB62" s="9" t="s">
        <v>41</v>
      </c>
      <c r="BC62" s="9">
        <v>130.494</v>
      </c>
      <c r="BD62" s="9"/>
      <c r="BE62" s="9">
        <v>5</v>
      </c>
      <c r="BF62" s="1"/>
      <c r="BJ62" s="9">
        <v>3</v>
      </c>
      <c r="BK62" s="9">
        <v>477</v>
      </c>
      <c r="BL62" s="9" t="s">
        <v>40</v>
      </c>
      <c r="BM62" s="9">
        <v>1253.7940000000001</v>
      </c>
      <c r="BN62" s="9">
        <v>14</v>
      </c>
      <c r="BO62" s="9">
        <v>6</v>
      </c>
      <c r="BP62" s="9"/>
      <c r="BQ62" s="9"/>
      <c r="BR62" s="9">
        <v>1265.7940000000001</v>
      </c>
      <c r="BS62" s="9"/>
      <c r="BT62" s="9">
        <v>279.60000000000002</v>
      </c>
      <c r="BU62" s="1"/>
      <c r="BV62" s="1"/>
      <c r="BW62" s="1"/>
      <c r="BX62" s="1"/>
      <c r="BY62" s="1"/>
      <c r="BZ62" s="1"/>
      <c r="CA62" s="1"/>
      <c r="CB62" s="1"/>
      <c r="CC62" s="1"/>
    </row>
    <row r="63" spans="36:81" ht="18" x14ac:dyDescent="0.2">
      <c r="AJ63" s="9">
        <v>12</v>
      </c>
      <c r="AK63" s="9">
        <v>427</v>
      </c>
      <c r="AL63" s="9" t="s">
        <v>51</v>
      </c>
      <c r="AM63" s="9">
        <v>186.38200000000001</v>
      </c>
      <c r="AN63" s="9">
        <v>1</v>
      </c>
      <c r="AO63" s="9"/>
      <c r="AP63" s="9">
        <v>188.38200000000001</v>
      </c>
      <c r="AQ63" s="9">
        <v>133.715</v>
      </c>
      <c r="AR63" s="9"/>
      <c r="AS63" s="9"/>
      <c r="AT63" s="9">
        <v>133.715</v>
      </c>
      <c r="AU63" s="9" t="s">
        <v>41</v>
      </c>
      <c r="AV63" s="9" t="s">
        <v>41</v>
      </c>
      <c r="AW63" s="9"/>
      <c r="AX63" s="9" t="s">
        <v>41</v>
      </c>
      <c r="AY63" s="9" t="s">
        <v>41</v>
      </c>
      <c r="AZ63" s="9" t="s">
        <v>41</v>
      </c>
      <c r="BA63" s="9"/>
      <c r="BB63" s="9" t="s">
        <v>41</v>
      </c>
      <c r="BC63" s="9">
        <v>133.715</v>
      </c>
      <c r="BD63" s="9"/>
      <c r="BE63" s="9">
        <v>5</v>
      </c>
      <c r="BF63" s="1"/>
      <c r="BJ63" s="9">
        <v>4</v>
      </c>
      <c r="BK63" s="9">
        <v>125</v>
      </c>
      <c r="BL63" s="9" t="s">
        <v>44</v>
      </c>
      <c r="BM63" s="9">
        <v>1389.461</v>
      </c>
      <c r="BN63" s="9">
        <v>14</v>
      </c>
      <c r="BO63" s="9">
        <v>9</v>
      </c>
      <c r="BP63" s="9"/>
      <c r="BQ63" s="9"/>
      <c r="BR63" s="9">
        <v>1407.461</v>
      </c>
      <c r="BS63" s="9"/>
      <c r="BT63" s="9">
        <v>166.3</v>
      </c>
      <c r="BU63" s="1"/>
      <c r="BV63" s="1"/>
      <c r="BW63" s="1"/>
      <c r="BX63" s="1"/>
      <c r="BY63" s="1"/>
      <c r="BZ63" s="1"/>
      <c r="CA63" s="1"/>
      <c r="CB63" s="1"/>
      <c r="CC63" s="1"/>
    </row>
    <row r="64" spans="36:81" ht="18" x14ac:dyDescent="0.2">
      <c r="AJ64" s="9">
        <v>13</v>
      </c>
      <c r="AK64" s="9">
        <v>13</v>
      </c>
      <c r="AL64" s="9" t="s">
        <v>58</v>
      </c>
      <c r="AM64" s="9">
        <v>169.113</v>
      </c>
      <c r="AN64" s="9"/>
      <c r="AO64" s="9"/>
      <c r="AP64" s="9">
        <v>169.113</v>
      </c>
      <c r="AQ64" s="9" t="s">
        <v>92</v>
      </c>
      <c r="AR64" s="9"/>
      <c r="AS64" s="9"/>
      <c r="AT64" s="9" t="s">
        <v>92</v>
      </c>
      <c r="AU64" s="9" t="s">
        <v>41</v>
      </c>
      <c r="AV64" s="9" t="s">
        <v>41</v>
      </c>
      <c r="AW64" s="9"/>
      <c r="AX64" s="9" t="s">
        <v>41</v>
      </c>
      <c r="AY64" s="9" t="s">
        <v>41</v>
      </c>
      <c r="AZ64" s="9" t="s">
        <v>41</v>
      </c>
      <c r="BA64" s="9"/>
      <c r="BB64" s="9" t="s">
        <v>41</v>
      </c>
      <c r="BC64" s="9">
        <v>169.113</v>
      </c>
      <c r="BD64" s="9"/>
      <c r="BE64" s="9">
        <v>5</v>
      </c>
      <c r="BF64" s="1"/>
      <c r="BJ64" s="9">
        <v>5</v>
      </c>
      <c r="BK64" s="9">
        <v>48</v>
      </c>
      <c r="BL64" s="9" t="s">
        <v>46</v>
      </c>
      <c r="BM64" s="9">
        <v>1571.1</v>
      </c>
      <c r="BN64" s="9">
        <v>14</v>
      </c>
      <c r="BO64" s="9">
        <v>10</v>
      </c>
      <c r="BP64" s="9"/>
      <c r="BQ64" s="9"/>
      <c r="BR64" s="9">
        <v>1591.1</v>
      </c>
      <c r="BS64" s="9"/>
      <c r="BT64" s="9">
        <v>49.5</v>
      </c>
      <c r="BU64" s="1"/>
      <c r="BV64" s="1"/>
      <c r="BW64" s="1"/>
      <c r="BX64" s="1"/>
      <c r="BY64" s="1"/>
      <c r="BZ64" s="1"/>
      <c r="CA64" s="1"/>
      <c r="CB64" s="1"/>
      <c r="CC64" s="1"/>
    </row>
    <row r="65" spans="36:81" ht="18" x14ac:dyDescent="0.2">
      <c r="AJ65" s="9"/>
      <c r="AK65" s="9">
        <v>2</v>
      </c>
      <c r="AL65" s="9" t="s">
        <v>53</v>
      </c>
      <c r="AM65" s="9"/>
      <c r="AN65" s="9"/>
      <c r="AO65" s="9"/>
      <c r="AP65" s="9" t="s">
        <v>41</v>
      </c>
      <c r="AQ65" s="9"/>
      <c r="AR65" s="9"/>
      <c r="AS65" s="9"/>
      <c r="AT65" s="9" t="s">
        <v>41</v>
      </c>
      <c r="AU65" s="9" t="s">
        <v>41</v>
      </c>
      <c r="AV65" s="9" t="s">
        <v>41</v>
      </c>
      <c r="AW65" s="9"/>
      <c r="AX65" s="9" t="s">
        <v>41</v>
      </c>
      <c r="AY65" s="9" t="s">
        <v>41</v>
      </c>
      <c r="AZ65" s="9" t="s">
        <v>41</v>
      </c>
      <c r="BA65" s="9"/>
      <c r="BB65" s="9" t="s">
        <v>41</v>
      </c>
      <c r="BC65" s="9" t="s">
        <v>41</v>
      </c>
      <c r="BD65" s="9"/>
      <c r="BE65" s="9">
        <v>0</v>
      </c>
      <c r="BF65" s="1"/>
      <c r="BJ65" s="9">
        <v>6</v>
      </c>
      <c r="BK65" s="9">
        <v>468</v>
      </c>
      <c r="BL65" s="9" t="s">
        <v>64</v>
      </c>
      <c r="BM65" s="9">
        <v>2141.498</v>
      </c>
      <c r="BN65" s="9">
        <v>14</v>
      </c>
      <c r="BO65" s="9">
        <v>1</v>
      </c>
      <c r="BP65" s="9"/>
      <c r="BQ65" s="9">
        <v>150</v>
      </c>
      <c r="BR65" s="9">
        <v>2293.498</v>
      </c>
      <c r="BS65" s="9"/>
      <c r="BT65" s="9">
        <v>32.5</v>
      </c>
      <c r="BU65" s="1"/>
      <c r="BV65" s="1"/>
      <c r="BW65" s="1"/>
      <c r="BX65" s="1"/>
      <c r="BY65" s="1"/>
      <c r="BZ65" s="1"/>
      <c r="CA65" s="1"/>
      <c r="CB65" s="1"/>
      <c r="CC65" s="1"/>
    </row>
    <row r="66" spans="36:81" ht="18" x14ac:dyDescent="0.2">
      <c r="AJ66" s="9"/>
      <c r="AK66" s="9">
        <v>5</v>
      </c>
      <c r="AL66" s="9" t="s">
        <v>55</v>
      </c>
      <c r="AM66" s="9"/>
      <c r="AN66" s="9"/>
      <c r="AO66" s="9"/>
      <c r="AP66" s="9" t="s">
        <v>41</v>
      </c>
      <c r="AQ66" s="9"/>
      <c r="AR66" s="9"/>
      <c r="AS66" s="9"/>
      <c r="AT66" s="9" t="s">
        <v>41</v>
      </c>
      <c r="AU66" s="9" t="s">
        <v>41</v>
      </c>
      <c r="AV66" s="9" t="s">
        <v>41</v>
      </c>
      <c r="AW66" s="9"/>
      <c r="AX66" s="9" t="s">
        <v>41</v>
      </c>
      <c r="AY66" s="9" t="s">
        <v>41</v>
      </c>
      <c r="AZ66" s="9" t="s">
        <v>41</v>
      </c>
      <c r="BA66" s="9"/>
      <c r="BB66" s="9" t="s">
        <v>41</v>
      </c>
      <c r="BC66" s="9" t="s">
        <v>41</v>
      </c>
      <c r="BD66" s="9"/>
      <c r="BE66" s="9">
        <v>0</v>
      </c>
      <c r="BF66" s="1"/>
      <c r="BJ66" s="9"/>
      <c r="BK66" s="9">
        <v>2</v>
      </c>
      <c r="BL66" s="9" t="s">
        <v>53</v>
      </c>
      <c r="BM66" s="9"/>
      <c r="BN66" s="9"/>
      <c r="BO66" s="9"/>
      <c r="BP66" s="9"/>
      <c r="BQ66" s="9"/>
      <c r="BR66" s="9" t="s">
        <v>41</v>
      </c>
      <c r="BS66" s="9"/>
      <c r="BT66" s="9">
        <v>0</v>
      </c>
      <c r="BU66" s="1"/>
      <c r="BV66" s="1"/>
      <c r="BW66" s="1"/>
      <c r="BX66" s="1"/>
      <c r="BY66" s="1"/>
      <c r="BZ66" s="1"/>
      <c r="CA66" s="1"/>
      <c r="CB66" s="1"/>
      <c r="CC66" s="1"/>
    </row>
    <row r="67" spans="36:81" ht="18" x14ac:dyDescent="0.2">
      <c r="AJ67" s="9"/>
      <c r="AK67" s="9">
        <v>11</v>
      </c>
      <c r="AL67" s="9" t="s">
        <v>56</v>
      </c>
      <c r="AM67" s="9"/>
      <c r="AN67" s="9"/>
      <c r="AO67" s="9"/>
      <c r="AP67" s="9" t="s">
        <v>41</v>
      </c>
      <c r="AQ67" s="9"/>
      <c r="AR67" s="9"/>
      <c r="AS67" s="9"/>
      <c r="AT67" s="9" t="s">
        <v>41</v>
      </c>
      <c r="AU67" s="9" t="s">
        <v>41</v>
      </c>
      <c r="AV67" s="9" t="s">
        <v>41</v>
      </c>
      <c r="AW67" s="9"/>
      <c r="AX67" s="9" t="s">
        <v>41</v>
      </c>
      <c r="AY67" s="9" t="s">
        <v>41</v>
      </c>
      <c r="AZ67" s="9" t="s">
        <v>41</v>
      </c>
      <c r="BA67" s="9"/>
      <c r="BB67" s="9" t="s">
        <v>41</v>
      </c>
      <c r="BC67" s="9" t="s">
        <v>41</v>
      </c>
      <c r="BD67" s="9"/>
      <c r="BE67" s="9">
        <v>0</v>
      </c>
      <c r="BF67" s="1"/>
      <c r="BJ67" s="9"/>
      <c r="BK67" s="9">
        <v>5</v>
      </c>
      <c r="BL67" s="9" t="s">
        <v>55</v>
      </c>
      <c r="BM67" s="9"/>
      <c r="BN67" s="9"/>
      <c r="BO67" s="9"/>
      <c r="BP67" s="9"/>
      <c r="BQ67" s="9"/>
      <c r="BR67" s="9" t="s">
        <v>41</v>
      </c>
      <c r="BS67" s="9"/>
      <c r="BT67" s="9">
        <v>0</v>
      </c>
      <c r="BU67" s="1"/>
      <c r="BV67" s="1"/>
      <c r="BW67" s="1"/>
      <c r="BX67" s="1"/>
      <c r="BY67" s="1"/>
      <c r="BZ67" s="1"/>
      <c r="CA67" s="1"/>
      <c r="CB67" s="1"/>
      <c r="CC67" s="1"/>
    </row>
    <row r="68" spans="36:81" ht="18" x14ac:dyDescent="0.2">
      <c r="AJ68" s="9"/>
      <c r="AK68" s="9">
        <v>18</v>
      </c>
      <c r="AL68" s="9" t="s">
        <v>61</v>
      </c>
      <c r="AM68" s="9"/>
      <c r="AN68" s="9"/>
      <c r="AO68" s="9"/>
      <c r="AP68" s="9" t="s">
        <v>41</v>
      </c>
      <c r="AQ68" s="9"/>
      <c r="AR68" s="9"/>
      <c r="AS68" s="9"/>
      <c r="AT68" s="9" t="s">
        <v>41</v>
      </c>
      <c r="AU68" s="9" t="s">
        <v>41</v>
      </c>
      <c r="AV68" s="9" t="s">
        <v>41</v>
      </c>
      <c r="AW68" s="9"/>
      <c r="AX68" s="9" t="s">
        <v>41</v>
      </c>
      <c r="AY68" s="9" t="s">
        <v>41</v>
      </c>
      <c r="AZ68" s="9" t="s">
        <v>41</v>
      </c>
      <c r="BA68" s="9"/>
      <c r="BB68" s="9" t="s">
        <v>41</v>
      </c>
      <c r="BC68" s="9" t="s">
        <v>41</v>
      </c>
      <c r="BD68" s="9"/>
      <c r="BE68" s="9">
        <v>0</v>
      </c>
      <c r="BF68" s="1"/>
      <c r="BJ68" s="9"/>
      <c r="BK68" s="9">
        <v>11</v>
      </c>
      <c r="BL68" s="9" t="s">
        <v>56</v>
      </c>
      <c r="BM68" s="9"/>
      <c r="BN68" s="9"/>
      <c r="BO68" s="9"/>
      <c r="BP68" s="9"/>
      <c r="BQ68" s="9"/>
      <c r="BR68" s="9" t="s">
        <v>41</v>
      </c>
      <c r="BS68" s="9"/>
      <c r="BT68" s="9">
        <v>0</v>
      </c>
      <c r="BU68" s="1"/>
      <c r="BV68" s="1"/>
      <c r="BW68" s="1"/>
      <c r="BX68" s="1"/>
      <c r="BY68" s="1"/>
      <c r="BZ68" s="1"/>
      <c r="CA68" s="1"/>
      <c r="CB68" s="1"/>
      <c r="CC68" s="1"/>
    </row>
    <row r="69" spans="36:81" ht="18" x14ac:dyDescent="0.2">
      <c r="AJ69" s="9"/>
      <c r="AK69" s="9">
        <v>25</v>
      </c>
      <c r="AL69" s="9" t="s">
        <v>93</v>
      </c>
      <c r="AM69" s="9"/>
      <c r="AN69" s="9"/>
      <c r="AO69" s="9"/>
      <c r="AP69" s="9" t="s">
        <v>41</v>
      </c>
      <c r="AQ69" s="9"/>
      <c r="AR69" s="9"/>
      <c r="AS69" s="9"/>
      <c r="AT69" s="9" t="s">
        <v>41</v>
      </c>
      <c r="AU69" s="9" t="s">
        <v>41</v>
      </c>
      <c r="AV69" s="9" t="s">
        <v>41</v>
      </c>
      <c r="AW69" s="9"/>
      <c r="AX69" s="9" t="s">
        <v>41</v>
      </c>
      <c r="AY69" s="9" t="s">
        <v>41</v>
      </c>
      <c r="AZ69" s="9" t="s">
        <v>41</v>
      </c>
      <c r="BA69" s="9"/>
      <c r="BB69" s="9" t="s">
        <v>41</v>
      </c>
      <c r="BC69" s="9" t="s">
        <v>41</v>
      </c>
      <c r="BD69" s="9"/>
      <c r="BE69" s="9">
        <v>0</v>
      </c>
      <c r="BF69" s="1"/>
      <c r="BJ69" s="9"/>
      <c r="BK69" s="9">
        <v>13</v>
      </c>
      <c r="BL69" s="9" t="s">
        <v>58</v>
      </c>
      <c r="BM69" s="9"/>
      <c r="BN69" s="9"/>
      <c r="BO69" s="9"/>
      <c r="BP69" s="9"/>
      <c r="BQ69" s="9"/>
      <c r="BR69" s="9" t="s">
        <v>41</v>
      </c>
      <c r="BS69" s="9"/>
      <c r="BT69" s="9">
        <v>0</v>
      </c>
      <c r="BU69" s="1"/>
      <c r="BV69" s="1"/>
      <c r="BW69" s="1"/>
      <c r="BX69" s="1"/>
      <c r="BY69" s="1"/>
      <c r="BZ69" s="1"/>
      <c r="CA69" s="1"/>
      <c r="CB69" s="1"/>
      <c r="CC69" s="1"/>
    </row>
    <row r="70" spans="36:81" ht="18" x14ac:dyDescent="0.2">
      <c r="AJ70" s="9"/>
      <c r="AK70" s="9">
        <v>46</v>
      </c>
      <c r="AL70" s="9" t="s">
        <v>62</v>
      </c>
      <c r="AM70" s="9"/>
      <c r="AN70" s="9"/>
      <c r="AO70" s="9"/>
      <c r="AP70" s="9" t="s">
        <v>41</v>
      </c>
      <c r="AQ70" s="9"/>
      <c r="AR70" s="9"/>
      <c r="AS70" s="9"/>
      <c r="AT70" s="9" t="s">
        <v>41</v>
      </c>
      <c r="AU70" s="9" t="s">
        <v>41</v>
      </c>
      <c r="AV70" s="9" t="s">
        <v>41</v>
      </c>
      <c r="AW70" s="9"/>
      <c r="AX70" s="9" t="s">
        <v>41</v>
      </c>
      <c r="AY70" s="9" t="s">
        <v>41</v>
      </c>
      <c r="AZ70" s="9"/>
      <c r="BA70" s="9"/>
      <c r="BB70" s="9"/>
      <c r="BC70" s="9" t="s">
        <v>41</v>
      </c>
      <c r="BD70" s="9"/>
      <c r="BE70" s="9">
        <v>0</v>
      </c>
      <c r="BF70" s="1"/>
      <c r="BJ70" s="9"/>
      <c r="BK70" s="9">
        <v>14</v>
      </c>
      <c r="BL70" s="9" t="s">
        <v>47</v>
      </c>
      <c r="BM70" s="9"/>
      <c r="BN70" s="9"/>
      <c r="BO70" s="9"/>
      <c r="BP70" s="9"/>
      <c r="BQ70" s="9"/>
      <c r="BR70" s="9" t="s">
        <v>41</v>
      </c>
      <c r="BS70" s="9"/>
      <c r="BT70" s="9">
        <v>0</v>
      </c>
      <c r="BU70" s="1"/>
      <c r="BV70" s="1"/>
      <c r="BW70" s="1"/>
      <c r="BX70" s="1"/>
      <c r="BY70" s="1"/>
      <c r="BZ70" s="1"/>
      <c r="CA70" s="1"/>
      <c r="CB70" s="1"/>
      <c r="CC70" s="1"/>
    </row>
    <row r="71" spans="36:81" ht="18" x14ac:dyDescent="0.2">
      <c r="AJ71" s="9"/>
      <c r="AK71" s="9">
        <v>57</v>
      </c>
      <c r="AL71" s="9" t="s">
        <v>94</v>
      </c>
      <c r="AM71" s="9"/>
      <c r="AN71" s="9"/>
      <c r="AO71" s="9"/>
      <c r="AP71" s="9" t="s">
        <v>41</v>
      </c>
      <c r="AQ71" s="9"/>
      <c r="AR71" s="9"/>
      <c r="AS71" s="9"/>
      <c r="AT71" s="9" t="s">
        <v>41</v>
      </c>
      <c r="AU71" s="9" t="s">
        <v>41</v>
      </c>
      <c r="AV71" s="9" t="s">
        <v>41</v>
      </c>
      <c r="AW71" s="9"/>
      <c r="AX71" s="9" t="s">
        <v>41</v>
      </c>
      <c r="AY71" s="9" t="s">
        <v>41</v>
      </c>
      <c r="AZ71" s="9" t="s">
        <v>41</v>
      </c>
      <c r="BA71" s="9"/>
      <c r="BB71" s="9" t="s">
        <v>41</v>
      </c>
      <c r="BC71" s="9" t="s">
        <v>41</v>
      </c>
      <c r="BD71" s="9"/>
      <c r="BE71" s="9">
        <v>0</v>
      </c>
      <c r="BF71" s="1"/>
      <c r="BJ71" s="9"/>
      <c r="BK71" s="9">
        <v>18</v>
      </c>
      <c r="BL71" s="9" t="s">
        <v>61</v>
      </c>
      <c r="BM71" s="9"/>
      <c r="BN71" s="9"/>
      <c r="BO71" s="9"/>
      <c r="BP71" s="9"/>
      <c r="BQ71" s="9"/>
      <c r="BR71" s="9" t="s">
        <v>41</v>
      </c>
      <c r="BS71" s="9"/>
      <c r="BT71" s="9">
        <v>0</v>
      </c>
      <c r="BU71" s="1"/>
      <c r="BV71" s="1"/>
      <c r="BW71" s="1"/>
      <c r="BX71" s="1"/>
      <c r="BY71" s="1"/>
      <c r="BZ71" s="1"/>
      <c r="CA71" s="1"/>
      <c r="CB71" s="1"/>
      <c r="CC71" s="1"/>
    </row>
    <row r="72" spans="36:81" ht="18" x14ac:dyDescent="0.2">
      <c r="AJ72" s="9"/>
      <c r="AK72" s="9">
        <v>63</v>
      </c>
      <c r="AL72" s="9" t="s">
        <v>68</v>
      </c>
      <c r="AM72" s="9"/>
      <c r="AN72" s="9"/>
      <c r="AO72" s="9"/>
      <c r="AP72" s="9" t="s">
        <v>41</v>
      </c>
      <c r="AQ72" s="9"/>
      <c r="AR72" s="9"/>
      <c r="AS72" s="9"/>
      <c r="AT72" s="9" t="s">
        <v>41</v>
      </c>
      <c r="AU72" s="9" t="s">
        <v>41</v>
      </c>
      <c r="AV72" s="9" t="s">
        <v>41</v>
      </c>
      <c r="AW72" s="9"/>
      <c r="AX72" s="9" t="s">
        <v>41</v>
      </c>
      <c r="AY72" s="9" t="s">
        <v>41</v>
      </c>
      <c r="AZ72" s="9" t="s">
        <v>41</v>
      </c>
      <c r="BA72" s="9"/>
      <c r="BB72" s="9" t="s">
        <v>41</v>
      </c>
      <c r="BC72" s="9" t="s">
        <v>41</v>
      </c>
      <c r="BD72" s="9"/>
      <c r="BE72" s="9">
        <v>0</v>
      </c>
      <c r="BF72" s="1"/>
      <c r="BJ72" s="9"/>
      <c r="BK72" s="9">
        <v>22</v>
      </c>
      <c r="BL72" s="9" t="s">
        <v>50</v>
      </c>
      <c r="BM72" s="9"/>
      <c r="BN72" s="9"/>
      <c r="BO72" s="9"/>
      <c r="BP72" s="9"/>
      <c r="BQ72" s="9"/>
      <c r="BR72" s="9" t="s">
        <v>41</v>
      </c>
      <c r="BS72" s="9"/>
      <c r="BT72" s="9">
        <v>0</v>
      </c>
      <c r="BU72" s="1"/>
      <c r="BV72" s="1"/>
      <c r="BW72" s="1"/>
      <c r="BX72" s="1"/>
      <c r="BY72" s="1"/>
      <c r="BZ72" s="1"/>
      <c r="CA72" s="1"/>
      <c r="CB72" s="1"/>
      <c r="CC72" s="1"/>
    </row>
    <row r="73" spans="36:81" ht="18" x14ac:dyDescent="0.2">
      <c r="AJ73" s="9"/>
      <c r="AK73" s="9">
        <v>64</v>
      </c>
      <c r="AL73" s="9" t="s">
        <v>65</v>
      </c>
      <c r="AM73" s="9"/>
      <c r="AN73" s="9"/>
      <c r="AO73" s="9"/>
      <c r="AP73" s="9" t="s">
        <v>41</v>
      </c>
      <c r="AQ73" s="9"/>
      <c r="AR73" s="9"/>
      <c r="AS73" s="9"/>
      <c r="AT73" s="9" t="s">
        <v>41</v>
      </c>
      <c r="AU73" s="9" t="s">
        <v>41</v>
      </c>
      <c r="AV73" s="9" t="s">
        <v>41</v>
      </c>
      <c r="AW73" s="9"/>
      <c r="AX73" s="9" t="s">
        <v>41</v>
      </c>
      <c r="AY73" s="9" t="s">
        <v>41</v>
      </c>
      <c r="AZ73" s="9" t="s">
        <v>41</v>
      </c>
      <c r="BA73" s="9"/>
      <c r="BB73" s="9" t="s">
        <v>41</v>
      </c>
      <c r="BC73" s="9" t="s">
        <v>41</v>
      </c>
      <c r="BD73" s="9"/>
      <c r="BE73" s="9">
        <v>0</v>
      </c>
      <c r="BF73" s="1"/>
      <c r="BJ73" s="9"/>
      <c r="BK73" s="9">
        <v>25</v>
      </c>
      <c r="BL73" s="9" t="s">
        <v>95</v>
      </c>
      <c r="BM73" s="9"/>
      <c r="BN73" s="9"/>
      <c r="BO73" s="9"/>
      <c r="BP73" s="9"/>
      <c r="BQ73" s="9"/>
      <c r="BR73" s="9" t="s">
        <v>41</v>
      </c>
      <c r="BS73" s="9"/>
      <c r="BT73" s="9">
        <v>0</v>
      </c>
      <c r="BU73" s="1"/>
      <c r="BV73" s="1"/>
      <c r="BW73" s="1"/>
      <c r="BX73" s="1"/>
      <c r="BY73" s="1"/>
      <c r="BZ73" s="1"/>
      <c r="CA73" s="1"/>
      <c r="CB73" s="1"/>
      <c r="CC73" s="1"/>
    </row>
    <row r="74" spans="36:81" ht="18" x14ac:dyDescent="0.2">
      <c r="AJ74" s="9"/>
      <c r="AK74" s="9">
        <v>65</v>
      </c>
      <c r="AL74" s="9" t="s">
        <v>69</v>
      </c>
      <c r="AM74" s="9"/>
      <c r="AN74" s="9"/>
      <c r="AO74" s="9"/>
      <c r="AP74" s="9" t="s">
        <v>41</v>
      </c>
      <c r="AQ74" s="9"/>
      <c r="AR74" s="9"/>
      <c r="AS74" s="9"/>
      <c r="AT74" s="9" t="s">
        <v>41</v>
      </c>
      <c r="AU74" s="9" t="s">
        <v>41</v>
      </c>
      <c r="AV74" s="9" t="s">
        <v>41</v>
      </c>
      <c r="AW74" s="9"/>
      <c r="AX74" s="9" t="s">
        <v>41</v>
      </c>
      <c r="AY74" s="9" t="s">
        <v>41</v>
      </c>
      <c r="AZ74" s="9" t="s">
        <v>41</v>
      </c>
      <c r="BA74" s="9"/>
      <c r="BB74" s="9" t="s">
        <v>41</v>
      </c>
      <c r="BC74" s="9" t="s">
        <v>41</v>
      </c>
      <c r="BD74" s="9"/>
      <c r="BE74" s="9">
        <v>0</v>
      </c>
      <c r="BF74" s="1"/>
      <c r="BJ74" s="9"/>
      <c r="BK74" s="9">
        <v>46</v>
      </c>
      <c r="BL74" s="9" t="s">
        <v>62</v>
      </c>
      <c r="BM74" s="9"/>
      <c r="BN74" s="9"/>
      <c r="BO74" s="9"/>
      <c r="BP74" s="9"/>
      <c r="BQ74" s="9"/>
      <c r="BR74" s="9" t="s">
        <v>41</v>
      </c>
      <c r="BS74" s="9"/>
      <c r="BT74" s="9">
        <v>0</v>
      </c>
      <c r="BU74" s="1"/>
      <c r="BV74" s="1"/>
      <c r="BW74" s="1"/>
      <c r="BX74" s="1"/>
      <c r="BY74" s="1"/>
      <c r="BZ74" s="1"/>
      <c r="CA74" s="1"/>
      <c r="CB74" s="1"/>
      <c r="CC74" s="1"/>
    </row>
    <row r="75" spans="36:81" ht="18" x14ac:dyDescent="0.2">
      <c r="AJ75" s="9"/>
      <c r="AK75" s="9">
        <v>72</v>
      </c>
      <c r="AL75" s="9" t="s">
        <v>71</v>
      </c>
      <c r="AM75" s="9">
        <v>135.09399999999999</v>
      </c>
      <c r="AN75" s="9"/>
      <c r="AO75" s="9"/>
      <c r="AP75" s="9" t="s">
        <v>49</v>
      </c>
      <c r="AQ75" s="9">
        <v>228.86799999999999</v>
      </c>
      <c r="AR75" s="9"/>
      <c r="AS75" s="9"/>
      <c r="AT75" s="9" t="s">
        <v>49</v>
      </c>
      <c r="AU75" s="9" t="s">
        <v>41</v>
      </c>
      <c r="AV75" s="9" t="s">
        <v>41</v>
      </c>
      <c r="AW75" s="9"/>
      <c r="AX75" s="9" t="s">
        <v>41</v>
      </c>
      <c r="AY75" s="9" t="s">
        <v>41</v>
      </c>
      <c r="AZ75" s="9" t="s">
        <v>41</v>
      </c>
      <c r="BA75" s="9"/>
      <c r="BB75" s="9" t="s">
        <v>41</v>
      </c>
      <c r="BC75" s="9" t="s">
        <v>41</v>
      </c>
      <c r="BD75" s="9"/>
      <c r="BE75" s="9">
        <v>0</v>
      </c>
      <c r="BF75" s="1"/>
      <c r="BJ75" s="9"/>
      <c r="BK75" s="9">
        <v>57</v>
      </c>
      <c r="BL75" s="9" t="s">
        <v>66</v>
      </c>
      <c r="BM75" s="9"/>
      <c r="BN75" s="9"/>
      <c r="BO75" s="9"/>
      <c r="BP75" s="9"/>
      <c r="BQ75" s="9"/>
      <c r="BR75" s="9" t="s">
        <v>41</v>
      </c>
      <c r="BS75" s="9"/>
      <c r="BT75" s="9">
        <v>0</v>
      </c>
      <c r="BU75" s="1"/>
      <c r="BV75" s="1"/>
      <c r="BW75" s="1"/>
      <c r="BX75" s="1"/>
      <c r="BY75" s="1"/>
      <c r="BZ75" s="1"/>
      <c r="CA75" s="1"/>
      <c r="CB75" s="1"/>
      <c r="CC75" s="1"/>
    </row>
    <row r="76" spans="36:81" ht="18" x14ac:dyDescent="0.2">
      <c r="AJ76" s="9"/>
      <c r="AK76" s="9">
        <v>73</v>
      </c>
      <c r="AL76" s="9" t="s">
        <v>72</v>
      </c>
      <c r="AM76" s="9"/>
      <c r="AN76" s="9"/>
      <c r="AO76" s="9"/>
      <c r="AP76" s="9" t="s">
        <v>41</v>
      </c>
      <c r="AQ76" s="9"/>
      <c r="AR76" s="9"/>
      <c r="AS76" s="9"/>
      <c r="AT76" s="9" t="s">
        <v>41</v>
      </c>
      <c r="AU76" s="9" t="s">
        <v>41</v>
      </c>
      <c r="AV76" s="9" t="s">
        <v>41</v>
      </c>
      <c r="AW76" s="9"/>
      <c r="AX76" s="9" t="s">
        <v>41</v>
      </c>
      <c r="AY76" s="9" t="s">
        <v>41</v>
      </c>
      <c r="AZ76" s="9" t="s">
        <v>41</v>
      </c>
      <c r="BA76" s="9"/>
      <c r="BB76" s="9" t="s">
        <v>41</v>
      </c>
      <c r="BC76" s="9" t="s">
        <v>41</v>
      </c>
      <c r="BD76" s="9"/>
      <c r="BE76" s="9">
        <v>0</v>
      </c>
      <c r="BF76" s="1"/>
      <c r="BJ76" s="9"/>
      <c r="BK76" s="9">
        <v>63</v>
      </c>
      <c r="BL76" s="9" t="s">
        <v>68</v>
      </c>
      <c r="BM76" s="9"/>
      <c r="BN76" s="9"/>
      <c r="BO76" s="9"/>
      <c r="BP76" s="9"/>
      <c r="BQ76" s="9"/>
      <c r="BR76" s="9" t="s">
        <v>41</v>
      </c>
      <c r="BS76" s="9"/>
      <c r="BT76" s="9">
        <v>0</v>
      </c>
      <c r="BU76" s="1"/>
      <c r="BV76" s="1"/>
      <c r="BW76" s="1"/>
      <c r="BX76" s="1"/>
      <c r="BY76" s="1"/>
      <c r="BZ76" s="1"/>
      <c r="CA76" s="1"/>
      <c r="CB76" s="1"/>
      <c r="CC76" s="1"/>
    </row>
    <row r="77" spans="36:81" ht="18" x14ac:dyDescent="0.2">
      <c r="AJ77" s="9"/>
      <c r="AK77" s="9">
        <v>81</v>
      </c>
      <c r="AL77" s="9" t="s">
        <v>73</v>
      </c>
      <c r="AM77" s="9"/>
      <c r="AN77" s="9"/>
      <c r="AO77" s="9"/>
      <c r="AP77" s="9" t="s">
        <v>41</v>
      </c>
      <c r="AQ77" s="9"/>
      <c r="AR77" s="9"/>
      <c r="AS77" s="9"/>
      <c r="AT77" s="9" t="s">
        <v>41</v>
      </c>
      <c r="AU77" s="9" t="s">
        <v>41</v>
      </c>
      <c r="AV77" s="9" t="s">
        <v>41</v>
      </c>
      <c r="AW77" s="9"/>
      <c r="AX77" s="9" t="s">
        <v>41</v>
      </c>
      <c r="AY77" s="9" t="s">
        <v>41</v>
      </c>
      <c r="AZ77" s="9" t="s">
        <v>41</v>
      </c>
      <c r="BA77" s="9"/>
      <c r="BB77" s="9" t="s">
        <v>41</v>
      </c>
      <c r="BC77" s="9" t="s">
        <v>41</v>
      </c>
      <c r="BD77" s="9"/>
      <c r="BE77" s="9">
        <v>0</v>
      </c>
      <c r="BF77" s="1"/>
      <c r="BJ77" s="9"/>
      <c r="BK77" s="9">
        <v>64</v>
      </c>
      <c r="BL77" s="9" t="s">
        <v>65</v>
      </c>
      <c r="BM77" s="9"/>
      <c r="BN77" s="9"/>
      <c r="BO77" s="9"/>
      <c r="BP77" s="9"/>
      <c r="BQ77" s="9"/>
      <c r="BR77" s="9" t="s">
        <v>41</v>
      </c>
      <c r="BS77" s="9"/>
      <c r="BT77" s="9">
        <v>0</v>
      </c>
      <c r="BU77" s="1"/>
      <c r="BV77" s="1"/>
      <c r="BW77" s="1"/>
      <c r="BX77" s="1"/>
      <c r="BY77" s="1"/>
      <c r="BZ77" s="1"/>
      <c r="CA77" s="1"/>
      <c r="CB77" s="1"/>
      <c r="CC77" s="1"/>
    </row>
    <row r="78" spans="36:81" ht="18" x14ac:dyDescent="0.2">
      <c r="AJ78" s="9"/>
      <c r="AK78" s="9">
        <v>83</v>
      </c>
      <c r="AL78" s="9" t="s">
        <v>74</v>
      </c>
      <c r="AM78" s="9"/>
      <c r="AN78" s="9"/>
      <c r="AO78" s="9"/>
      <c r="AP78" s="9" t="s">
        <v>41</v>
      </c>
      <c r="AQ78" s="9"/>
      <c r="AR78" s="9"/>
      <c r="AS78" s="9"/>
      <c r="AT78" s="9" t="s">
        <v>41</v>
      </c>
      <c r="AU78" s="9" t="s">
        <v>41</v>
      </c>
      <c r="AV78" s="9" t="s">
        <v>41</v>
      </c>
      <c r="AW78" s="9"/>
      <c r="AX78" s="9" t="s">
        <v>41</v>
      </c>
      <c r="AY78" s="9" t="s">
        <v>41</v>
      </c>
      <c r="AZ78" s="9" t="s">
        <v>41</v>
      </c>
      <c r="BA78" s="9"/>
      <c r="BB78" s="9" t="s">
        <v>41</v>
      </c>
      <c r="BC78" s="9" t="s">
        <v>41</v>
      </c>
      <c r="BD78" s="9"/>
      <c r="BE78" s="9">
        <v>0</v>
      </c>
      <c r="BF78" s="1"/>
      <c r="BJ78" s="9"/>
      <c r="BK78" s="9">
        <v>65</v>
      </c>
      <c r="BL78" s="9" t="s">
        <v>69</v>
      </c>
      <c r="BM78" s="9"/>
      <c r="BN78" s="9"/>
      <c r="BO78" s="9"/>
      <c r="BP78" s="9"/>
      <c r="BQ78" s="9"/>
      <c r="BR78" s="9" t="s">
        <v>41</v>
      </c>
      <c r="BS78" s="9"/>
      <c r="BT78" s="9">
        <v>0</v>
      </c>
      <c r="BU78" s="1"/>
      <c r="BV78" s="1"/>
      <c r="BW78" s="1"/>
      <c r="BX78" s="1"/>
      <c r="BY78" s="1"/>
      <c r="BZ78" s="1"/>
      <c r="CA78" s="1"/>
      <c r="CB78" s="1"/>
      <c r="CC78" s="1"/>
    </row>
    <row r="79" spans="36:81" ht="18" x14ac:dyDescent="0.2">
      <c r="AJ79" s="9"/>
      <c r="AK79" s="9">
        <v>84</v>
      </c>
      <c r="AL79" s="9" t="s">
        <v>70</v>
      </c>
      <c r="AM79" s="9"/>
      <c r="AN79" s="9"/>
      <c r="AO79" s="9"/>
      <c r="AP79" s="9" t="s">
        <v>41</v>
      </c>
      <c r="AQ79" s="9"/>
      <c r="AR79" s="9"/>
      <c r="AS79" s="9"/>
      <c r="AT79" s="9" t="s">
        <v>41</v>
      </c>
      <c r="AU79" s="9" t="s">
        <v>41</v>
      </c>
      <c r="AV79" s="9" t="s">
        <v>41</v>
      </c>
      <c r="AW79" s="9"/>
      <c r="AX79" s="9" t="s">
        <v>41</v>
      </c>
      <c r="AY79" s="9" t="s">
        <v>41</v>
      </c>
      <c r="AZ79" s="9" t="s">
        <v>41</v>
      </c>
      <c r="BA79" s="9"/>
      <c r="BB79" s="9" t="s">
        <v>41</v>
      </c>
      <c r="BC79" s="9" t="s">
        <v>41</v>
      </c>
      <c r="BD79" s="9"/>
      <c r="BE79" s="9">
        <v>0</v>
      </c>
      <c r="BF79" s="1"/>
      <c r="BJ79" s="9"/>
      <c r="BK79" s="9">
        <v>72</v>
      </c>
      <c r="BL79" s="9" t="s">
        <v>71</v>
      </c>
      <c r="BM79" s="9"/>
      <c r="BN79" s="9"/>
      <c r="BO79" s="9"/>
      <c r="BP79" s="9"/>
      <c r="BQ79" s="9"/>
      <c r="BR79" s="9" t="s">
        <v>41</v>
      </c>
      <c r="BS79" s="9"/>
      <c r="BT79" s="9">
        <v>0</v>
      </c>
      <c r="BU79" s="1"/>
      <c r="BV79" s="1"/>
      <c r="BW79" s="1"/>
      <c r="BX79" s="1"/>
      <c r="BY79" s="1"/>
      <c r="BZ79" s="1"/>
      <c r="CA79" s="1"/>
      <c r="CB79" s="1"/>
      <c r="CC79" s="1"/>
    </row>
    <row r="80" spans="36:81" ht="18" x14ac:dyDescent="0.2">
      <c r="AJ80" s="9"/>
      <c r="AK80" s="9">
        <v>99</v>
      </c>
      <c r="AL80" s="9" t="s">
        <v>75</v>
      </c>
      <c r="AM80" s="9"/>
      <c r="AN80" s="9"/>
      <c r="AO80" s="9"/>
      <c r="AP80" s="9" t="s">
        <v>41</v>
      </c>
      <c r="AQ80" s="9"/>
      <c r="AR80" s="9"/>
      <c r="AS80" s="9"/>
      <c r="AT80" s="9" t="s">
        <v>41</v>
      </c>
      <c r="AU80" s="9" t="s">
        <v>41</v>
      </c>
      <c r="AV80" s="9" t="s">
        <v>41</v>
      </c>
      <c r="AW80" s="9"/>
      <c r="AX80" s="9" t="s">
        <v>41</v>
      </c>
      <c r="AY80" s="9" t="s">
        <v>41</v>
      </c>
      <c r="AZ80" s="9" t="s">
        <v>41</v>
      </c>
      <c r="BA80" s="9"/>
      <c r="BB80" s="9" t="s">
        <v>41</v>
      </c>
      <c r="BC80" s="9" t="s">
        <v>41</v>
      </c>
      <c r="BD80" s="9"/>
      <c r="BE80" s="9">
        <v>0</v>
      </c>
      <c r="BF80" s="1"/>
      <c r="BJ80" s="9"/>
      <c r="BK80" s="9">
        <v>73</v>
      </c>
      <c r="BL80" s="9" t="s">
        <v>72</v>
      </c>
      <c r="BM80" s="9"/>
      <c r="BN80" s="9"/>
      <c r="BO80" s="9"/>
      <c r="BP80" s="9"/>
      <c r="BQ80" s="9"/>
      <c r="BR80" s="9" t="s">
        <v>41</v>
      </c>
      <c r="BS80" s="9"/>
      <c r="BT80" s="9">
        <v>0</v>
      </c>
      <c r="BU80" s="1"/>
      <c r="BV80" s="1"/>
      <c r="BW80" s="1"/>
      <c r="BX80" s="1"/>
      <c r="BY80" s="1"/>
      <c r="BZ80" s="1"/>
      <c r="CA80" s="1"/>
      <c r="CB80" s="1"/>
      <c r="CC80" s="1"/>
    </row>
    <row r="81" spans="36:81" ht="18" x14ac:dyDescent="0.2">
      <c r="AJ81" s="9"/>
      <c r="AK81" s="9">
        <v>119</v>
      </c>
      <c r="AL81" s="9" t="s">
        <v>76</v>
      </c>
      <c r="AM81" s="9"/>
      <c r="AN81" s="9"/>
      <c r="AO81" s="9"/>
      <c r="AP81" s="9" t="s">
        <v>41</v>
      </c>
      <c r="AQ81" s="9"/>
      <c r="AR81" s="9"/>
      <c r="AS81" s="9"/>
      <c r="AT81" s="9" t="s">
        <v>41</v>
      </c>
      <c r="AU81" s="9" t="s">
        <v>41</v>
      </c>
      <c r="AV81" s="9" t="s">
        <v>41</v>
      </c>
      <c r="AW81" s="9"/>
      <c r="AX81" s="9" t="s">
        <v>41</v>
      </c>
      <c r="AY81" s="9" t="s">
        <v>41</v>
      </c>
      <c r="AZ81" s="9" t="s">
        <v>41</v>
      </c>
      <c r="BA81" s="9"/>
      <c r="BB81" s="9" t="s">
        <v>41</v>
      </c>
      <c r="BC81" s="9" t="s">
        <v>41</v>
      </c>
      <c r="BD81" s="9"/>
      <c r="BE81" s="9">
        <v>0</v>
      </c>
      <c r="BF81" s="1"/>
      <c r="BJ81" s="9">
        <v>7</v>
      </c>
      <c r="BK81" s="9">
        <v>79</v>
      </c>
      <c r="BL81" s="9" t="s">
        <v>59</v>
      </c>
      <c r="BM81" s="9">
        <v>276.82499999999999</v>
      </c>
      <c r="BN81" s="9">
        <v>2</v>
      </c>
      <c r="BO81" s="9"/>
      <c r="BP81" s="9"/>
      <c r="BQ81" s="9"/>
      <c r="BR81" s="9" t="s">
        <v>92</v>
      </c>
      <c r="BS81" s="9"/>
      <c r="BT81" s="9">
        <v>0</v>
      </c>
      <c r="BU81" s="1"/>
      <c r="BV81" s="1"/>
      <c r="BW81" s="1"/>
      <c r="BX81" s="1"/>
      <c r="BY81" s="1"/>
      <c r="BZ81" s="1"/>
      <c r="CA81" s="1"/>
      <c r="CB81" s="1"/>
      <c r="CC81" s="1"/>
    </row>
    <row r="82" spans="36:81" ht="18" x14ac:dyDescent="0.2">
      <c r="AJ82" s="9"/>
      <c r="AK82" s="9">
        <v>133</v>
      </c>
      <c r="AL82" s="9" t="s">
        <v>67</v>
      </c>
      <c r="AM82" s="9"/>
      <c r="AN82" s="9"/>
      <c r="AO82" s="9"/>
      <c r="AP82" s="9" t="s">
        <v>41</v>
      </c>
      <c r="AQ82" s="9"/>
      <c r="AR82" s="9"/>
      <c r="AS82" s="9"/>
      <c r="AT82" s="9" t="s">
        <v>41</v>
      </c>
      <c r="AU82" s="9" t="s">
        <v>41</v>
      </c>
      <c r="AV82" s="9" t="s">
        <v>41</v>
      </c>
      <c r="AW82" s="9"/>
      <c r="AX82" s="9" t="s">
        <v>41</v>
      </c>
      <c r="AY82" s="9" t="s">
        <v>41</v>
      </c>
      <c r="AZ82" s="9" t="s">
        <v>41</v>
      </c>
      <c r="BA82" s="9"/>
      <c r="BB82" s="9" t="s">
        <v>41</v>
      </c>
      <c r="BC82" s="9" t="s">
        <v>41</v>
      </c>
      <c r="BD82" s="9"/>
      <c r="BE82" s="9">
        <v>0</v>
      </c>
      <c r="BF82" s="1"/>
      <c r="BJ82" s="9"/>
      <c r="BK82" s="9">
        <v>81</v>
      </c>
      <c r="BL82" s="9" t="s">
        <v>73</v>
      </c>
      <c r="BM82" s="9"/>
      <c r="BN82" s="9"/>
      <c r="BO82" s="9"/>
      <c r="BP82" s="9"/>
      <c r="BQ82" s="9"/>
      <c r="BR82" s="9" t="s">
        <v>41</v>
      </c>
      <c r="BS82" s="9"/>
      <c r="BT82" s="9">
        <v>0</v>
      </c>
      <c r="BU82" s="1"/>
      <c r="BV82" s="1"/>
      <c r="BW82" s="1"/>
      <c r="BX82" s="1"/>
      <c r="BY82" s="1"/>
      <c r="BZ82" s="1"/>
      <c r="CA82" s="1"/>
      <c r="CB82" s="1"/>
      <c r="CC82" s="1"/>
    </row>
    <row r="83" spans="36:81" ht="18" x14ac:dyDescent="0.2">
      <c r="AJ83" s="9"/>
      <c r="AK83" s="9">
        <v>411</v>
      </c>
      <c r="AL83" s="9" t="s">
        <v>45</v>
      </c>
      <c r="AM83" s="9">
        <v>91.141000000000005</v>
      </c>
      <c r="AN83" s="9">
        <v>3</v>
      </c>
      <c r="AO83" s="9"/>
      <c r="AP83" s="9" t="s">
        <v>49</v>
      </c>
      <c r="AQ83" s="9">
        <v>69.283000000000001</v>
      </c>
      <c r="AR83" s="9">
        <v>5</v>
      </c>
      <c r="AS83" s="9"/>
      <c r="AT83" s="9" t="s">
        <v>49</v>
      </c>
      <c r="AU83" s="9">
        <v>102.93</v>
      </c>
      <c r="AV83" s="9"/>
      <c r="AW83" s="9" t="s">
        <v>49</v>
      </c>
      <c r="AX83" s="9" t="s">
        <v>92</v>
      </c>
      <c r="AY83" s="9" t="s">
        <v>41</v>
      </c>
      <c r="AZ83" s="9" t="s">
        <v>92</v>
      </c>
      <c r="BA83" s="9"/>
      <c r="BB83" s="9" t="s">
        <v>41</v>
      </c>
      <c r="BC83" s="9" t="s">
        <v>41</v>
      </c>
      <c r="BD83" s="9"/>
      <c r="BE83" s="9">
        <v>0</v>
      </c>
      <c r="BF83" s="1"/>
      <c r="BJ83" s="9"/>
      <c r="BK83" s="9">
        <v>83</v>
      </c>
      <c r="BL83" s="9" t="s">
        <v>74</v>
      </c>
      <c r="BM83" s="9"/>
      <c r="BN83" s="9"/>
      <c r="BO83" s="9"/>
      <c r="BP83" s="9"/>
      <c r="BQ83" s="9"/>
      <c r="BR83" s="9" t="s">
        <v>41</v>
      </c>
      <c r="BS83" s="9"/>
      <c r="BT83" s="9">
        <v>0</v>
      </c>
      <c r="BU83" s="1"/>
      <c r="BV83" s="1"/>
      <c r="BW83" s="1"/>
      <c r="BX83" s="1"/>
      <c r="BY83" s="1"/>
      <c r="BZ83" s="1"/>
      <c r="CA83" s="1"/>
      <c r="CB83" s="1"/>
      <c r="CC83" s="1"/>
    </row>
    <row r="84" spans="36:81" ht="18" x14ac:dyDescent="0.2">
      <c r="AJ84" s="9"/>
      <c r="AK84" s="9">
        <v>415</v>
      </c>
      <c r="AL84" s="9" t="s">
        <v>57</v>
      </c>
      <c r="AM84" s="9"/>
      <c r="AN84" s="9"/>
      <c r="AO84" s="9"/>
      <c r="AP84" s="9" t="s">
        <v>41</v>
      </c>
      <c r="AQ84" s="9"/>
      <c r="AR84" s="9"/>
      <c r="AS84" s="9"/>
      <c r="AT84" s="9" t="s">
        <v>41</v>
      </c>
      <c r="AU84" s="9" t="s">
        <v>41</v>
      </c>
      <c r="AV84" s="9" t="s">
        <v>41</v>
      </c>
      <c r="AW84" s="9"/>
      <c r="AX84" s="9" t="s">
        <v>41</v>
      </c>
      <c r="AY84" s="9" t="s">
        <v>41</v>
      </c>
      <c r="AZ84" s="9" t="s">
        <v>41</v>
      </c>
      <c r="BA84" s="9"/>
      <c r="BB84" s="9" t="s">
        <v>41</v>
      </c>
      <c r="BC84" s="9" t="s">
        <v>41</v>
      </c>
      <c r="BD84" s="9"/>
      <c r="BE84" s="9">
        <v>0</v>
      </c>
      <c r="BF84" s="1"/>
      <c r="BJ84" s="9"/>
      <c r="BK84" s="9">
        <v>84</v>
      </c>
      <c r="BL84" s="9" t="s">
        <v>70</v>
      </c>
      <c r="BM84" s="9"/>
      <c r="BN84" s="9"/>
      <c r="BO84" s="9"/>
      <c r="BP84" s="9"/>
      <c r="BQ84" s="9"/>
      <c r="BR84" s="9" t="s">
        <v>41</v>
      </c>
      <c r="BS84" s="9"/>
      <c r="BT84" s="9">
        <v>0</v>
      </c>
      <c r="BU84" s="1"/>
      <c r="BV84" s="1"/>
      <c r="BW84" s="1"/>
      <c r="BX84" s="1"/>
      <c r="BY84" s="1"/>
      <c r="BZ84" s="1"/>
      <c r="CA84" s="1"/>
      <c r="CB84" s="1"/>
      <c r="CC84" s="1"/>
    </row>
    <row r="85" spans="36:81" ht="18" x14ac:dyDescent="0.2">
      <c r="AJ85" s="9"/>
      <c r="AK85" s="9">
        <v>450</v>
      </c>
      <c r="AL85" s="9" t="s">
        <v>43</v>
      </c>
      <c r="AM85" s="9">
        <v>88.352000000000004</v>
      </c>
      <c r="AN85" s="9"/>
      <c r="AO85" s="9"/>
      <c r="AP85" s="9" t="s">
        <v>92</v>
      </c>
      <c r="AQ85" s="9">
        <v>84.429000000000002</v>
      </c>
      <c r="AR85" s="9">
        <v>2</v>
      </c>
      <c r="AS85" s="9">
        <v>1</v>
      </c>
      <c r="AT85" s="9" t="s">
        <v>49</v>
      </c>
      <c r="AU85" s="9">
        <v>81.843999999999994</v>
      </c>
      <c r="AV85" s="9">
        <v>1</v>
      </c>
      <c r="AW85" s="9"/>
      <c r="AX85" s="9" t="s">
        <v>49</v>
      </c>
      <c r="AY85" s="9" t="s">
        <v>41</v>
      </c>
      <c r="AZ85" s="9" t="s">
        <v>41</v>
      </c>
      <c r="BA85" s="9"/>
      <c r="BB85" s="9" t="s">
        <v>41</v>
      </c>
      <c r="BC85" s="9" t="s">
        <v>41</v>
      </c>
      <c r="BD85" s="9"/>
      <c r="BE85" s="9">
        <v>0</v>
      </c>
      <c r="BF85" s="1"/>
      <c r="BJ85" s="9">
        <v>7</v>
      </c>
      <c r="BK85" s="9">
        <v>94</v>
      </c>
      <c r="BL85" s="9" t="s">
        <v>42</v>
      </c>
      <c r="BM85" s="9"/>
      <c r="BN85" s="9"/>
      <c r="BO85" s="9">
        <v>1</v>
      </c>
      <c r="BP85" s="9"/>
      <c r="BQ85" s="9"/>
      <c r="BR85" s="9" t="s">
        <v>49</v>
      </c>
      <c r="BS85" s="9"/>
      <c r="BT85" s="9">
        <v>0</v>
      </c>
      <c r="BU85" s="1"/>
      <c r="BV85" s="1"/>
      <c r="BW85" s="1"/>
      <c r="BX85" s="1"/>
      <c r="BY85" s="1"/>
      <c r="BZ85" s="1"/>
      <c r="CA85" s="1"/>
      <c r="CB85" s="1"/>
      <c r="CC85" s="1"/>
    </row>
    <row r="86" spans="36:81" ht="18" x14ac:dyDescent="0.2">
      <c r="AJ86" s="9"/>
      <c r="AK86" s="9">
        <v>454</v>
      </c>
      <c r="AL86" s="9" t="s">
        <v>48</v>
      </c>
      <c r="AM86" s="9" t="s">
        <v>92</v>
      </c>
      <c r="AN86" s="9"/>
      <c r="AO86" s="9"/>
      <c r="AP86" s="9" t="s">
        <v>41</v>
      </c>
      <c r="AQ86" s="9"/>
      <c r="AR86" s="9"/>
      <c r="AS86" s="9"/>
      <c r="AT86" s="9" t="s">
        <v>41</v>
      </c>
      <c r="AU86" s="9" t="s">
        <v>41</v>
      </c>
      <c r="AV86" s="9" t="s">
        <v>41</v>
      </c>
      <c r="AW86" s="9"/>
      <c r="AX86" s="9" t="s">
        <v>41</v>
      </c>
      <c r="AY86" s="9" t="s">
        <v>41</v>
      </c>
      <c r="AZ86" s="9" t="s">
        <v>41</v>
      </c>
      <c r="BA86" s="9"/>
      <c r="BB86" s="9" t="s">
        <v>41</v>
      </c>
      <c r="BC86" s="9" t="s">
        <v>41</v>
      </c>
      <c r="BD86" s="9"/>
      <c r="BE86" s="9">
        <v>0</v>
      </c>
      <c r="BF86" s="1"/>
      <c r="BJ86" s="9"/>
      <c r="BK86" s="9">
        <v>99</v>
      </c>
      <c r="BL86" s="9" t="s">
        <v>75</v>
      </c>
      <c r="BM86" s="9"/>
      <c r="BN86" s="9"/>
      <c r="BO86" s="9"/>
      <c r="BP86" s="9"/>
      <c r="BQ86" s="9"/>
      <c r="BR86" s="9" t="s">
        <v>41</v>
      </c>
      <c r="BS86" s="9"/>
      <c r="BT86" s="9">
        <v>0</v>
      </c>
      <c r="BU86" s="1"/>
      <c r="BV86" s="1"/>
      <c r="BW86" s="1"/>
      <c r="BX86" s="1"/>
      <c r="BY86" s="1"/>
      <c r="BZ86" s="1"/>
      <c r="CA86" s="1"/>
      <c r="CB86" s="1"/>
      <c r="CC86" s="1"/>
    </row>
    <row r="87" spans="36:81" ht="18" x14ac:dyDescent="0.2">
      <c r="AJ87" s="9"/>
      <c r="AK87" s="9">
        <v>468</v>
      </c>
      <c r="AL87" s="9" t="s">
        <v>64</v>
      </c>
      <c r="AM87" s="9"/>
      <c r="AN87" s="9"/>
      <c r="AO87" s="9"/>
      <c r="AP87" s="9" t="s">
        <v>41</v>
      </c>
      <c r="AQ87" s="9"/>
      <c r="AR87" s="9"/>
      <c r="AS87" s="9"/>
      <c r="AT87" s="9" t="s">
        <v>41</v>
      </c>
      <c r="AU87" s="9" t="s">
        <v>41</v>
      </c>
      <c r="AV87" s="9" t="s">
        <v>41</v>
      </c>
      <c r="AW87" s="9"/>
      <c r="AX87" s="9" t="s">
        <v>41</v>
      </c>
      <c r="AY87" s="9" t="s">
        <v>41</v>
      </c>
      <c r="AZ87" s="9" t="s">
        <v>41</v>
      </c>
      <c r="BA87" s="9"/>
      <c r="BB87" s="9" t="s">
        <v>41</v>
      </c>
      <c r="BC87" s="9" t="s">
        <v>41</v>
      </c>
      <c r="BD87" s="9"/>
      <c r="BE87" s="9">
        <v>0</v>
      </c>
      <c r="BF87" s="1"/>
      <c r="BJ87" s="9"/>
      <c r="BK87" s="9">
        <v>119</v>
      </c>
      <c r="BL87" s="9" t="s">
        <v>76</v>
      </c>
      <c r="BM87" s="9"/>
      <c r="BN87" s="9"/>
      <c r="BO87" s="9"/>
      <c r="BP87" s="9"/>
      <c r="BQ87" s="9"/>
      <c r="BR87" s="9" t="s">
        <v>41</v>
      </c>
      <c r="BS87" s="9"/>
      <c r="BT87" s="9">
        <v>0</v>
      </c>
      <c r="BU87" s="1"/>
      <c r="BV87" s="1"/>
      <c r="BW87" s="1"/>
      <c r="BX87" s="1"/>
      <c r="BY87" s="1"/>
      <c r="BZ87" s="1"/>
      <c r="CA87" s="1"/>
      <c r="CB87" s="1"/>
      <c r="CC87" s="1"/>
    </row>
    <row r="88" spans="36:81" ht="18" x14ac:dyDescent="0.2">
      <c r="AJ88" s="9"/>
      <c r="AK88" s="9">
        <v>492</v>
      </c>
      <c r="AL88" s="9" t="s">
        <v>54</v>
      </c>
      <c r="AM88" s="9"/>
      <c r="AN88" s="9"/>
      <c r="AO88" s="9"/>
      <c r="AP88" s="9" t="s">
        <v>41</v>
      </c>
      <c r="AQ88" s="9"/>
      <c r="AR88" s="9"/>
      <c r="AS88" s="9"/>
      <c r="AT88" s="9" t="s">
        <v>41</v>
      </c>
      <c r="AU88" s="9" t="s">
        <v>41</v>
      </c>
      <c r="AV88" s="9" t="s">
        <v>41</v>
      </c>
      <c r="AW88" s="9"/>
      <c r="AX88" s="9" t="s">
        <v>41</v>
      </c>
      <c r="AY88" s="9" t="s">
        <v>41</v>
      </c>
      <c r="AZ88" s="9" t="s">
        <v>41</v>
      </c>
      <c r="BA88" s="9"/>
      <c r="BB88" s="9" t="s">
        <v>41</v>
      </c>
      <c r="BC88" s="9" t="s">
        <v>41</v>
      </c>
      <c r="BD88" s="9"/>
      <c r="BE88" s="9">
        <v>0</v>
      </c>
      <c r="BF88" s="1"/>
      <c r="BJ88" s="9"/>
      <c r="BK88" s="9">
        <v>133</v>
      </c>
      <c r="BL88" s="9" t="s">
        <v>67</v>
      </c>
      <c r="BM88" s="9"/>
      <c r="BN88" s="9"/>
      <c r="BO88" s="9"/>
      <c r="BP88" s="9"/>
      <c r="BQ88" s="9"/>
      <c r="BR88" s="9" t="s">
        <v>41</v>
      </c>
      <c r="BS88" s="9"/>
      <c r="BT88" s="9">
        <v>0</v>
      </c>
      <c r="BU88" s="1"/>
      <c r="BV88" s="1"/>
      <c r="BW88" s="1"/>
      <c r="BX88" s="1"/>
      <c r="BY88" s="1"/>
      <c r="BZ88" s="1"/>
      <c r="CA88" s="1"/>
      <c r="CB88" s="1"/>
      <c r="CC88" s="1"/>
    </row>
    <row r="89" spans="36:81" ht="20" x14ac:dyDescent="0.2">
      <c r="AJ89" s="2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J89" s="9"/>
      <c r="BK89" s="9">
        <v>165</v>
      </c>
      <c r="BL89" s="9" t="s">
        <v>52</v>
      </c>
      <c r="BM89" s="9"/>
      <c r="BN89" s="9"/>
      <c r="BO89" s="9"/>
      <c r="BP89" s="9"/>
      <c r="BQ89" s="9"/>
      <c r="BR89" s="9" t="s">
        <v>41</v>
      </c>
      <c r="BS89" s="9"/>
      <c r="BT89" s="9">
        <v>0</v>
      </c>
      <c r="BU89" s="1"/>
      <c r="BV89" s="1"/>
      <c r="BW89" s="1"/>
      <c r="BX89" s="1"/>
      <c r="BY89" s="1"/>
      <c r="BZ89" s="1"/>
      <c r="CA89" s="1"/>
      <c r="CB89" s="1"/>
      <c r="CC89" s="1"/>
    </row>
    <row r="90" spans="36:81" ht="18" x14ac:dyDescent="0.2">
      <c r="AJ90" s="2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J90" s="9"/>
      <c r="BK90" s="9">
        <v>411</v>
      </c>
      <c r="BL90" s="9" t="s">
        <v>45</v>
      </c>
      <c r="BM90" s="9"/>
      <c r="BN90" s="9"/>
      <c r="BO90" s="9"/>
      <c r="BP90" s="9"/>
      <c r="BQ90" s="9"/>
      <c r="BR90" s="9" t="s">
        <v>41</v>
      </c>
      <c r="BS90" s="9"/>
      <c r="BT90" s="9">
        <v>0</v>
      </c>
      <c r="BU90" s="1"/>
      <c r="BV90" s="1"/>
      <c r="BW90" s="1"/>
      <c r="BX90" s="1"/>
      <c r="BY90" s="1"/>
      <c r="BZ90" s="1"/>
      <c r="CA90" s="1"/>
      <c r="CB90" s="1"/>
      <c r="CC90" s="1"/>
    </row>
    <row r="91" spans="36:81" ht="17.5" customHeight="1" x14ac:dyDescent="0.45">
      <c r="AJ91" s="1"/>
      <c r="AK91" s="26" t="s">
        <v>96</v>
      </c>
      <c r="AL91" s="26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J91" s="9"/>
      <c r="BK91" s="9">
        <v>415</v>
      </c>
      <c r="BL91" s="9" t="s">
        <v>97</v>
      </c>
      <c r="BM91" s="9"/>
      <c r="BN91" s="9"/>
      <c r="BO91" s="9"/>
      <c r="BP91" s="9"/>
      <c r="BQ91" s="9"/>
      <c r="BR91" s="9" t="s">
        <v>41</v>
      </c>
      <c r="BS91" s="9"/>
      <c r="BT91" s="9">
        <v>0</v>
      </c>
      <c r="BU91" s="1"/>
      <c r="BV91" s="1"/>
      <c r="BW91" s="1"/>
      <c r="BX91" s="1"/>
      <c r="BY91" s="1"/>
      <c r="BZ91" s="1"/>
      <c r="CA91" s="1"/>
      <c r="CB91" s="1"/>
      <c r="CC91" s="1"/>
    </row>
    <row r="92" spans="36:81" ht="17.5" customHeight="1" x14ac:dyDescent="0.45">
      <c r="AJ92" s="1"/>
      <c r="AK92" s="26"/>
      <c r="AL92" s="26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J92" s="9"/>
      <c r="BK92" s="9">
        <v>427</v>
      </c>
      <c r="BL92" s="9" t="s">
        <v>51</v>
      </c>
      <c r="BM92" s="9"/>
      <c r="BN92" s="9"/>
      <c r="BO92" s="9"/>
      <c r="BP92" s="9"/>
      <c r="BQ92" s="9"/>
      <c r="BR92" s="9" t="s">
        <v>41</v>
      </c>
      <c r="BS92" s="9"/>
      <c r="BT92" s="9">
        <v>0</v>
      </c>
      <c r="BU92" s="1"/>
      <c r="BV92" s="1"/>
      <c r="BW92" s="1"/>
      <c r="BX92" s="1"/>
      <c r="BY92" s="1"/>
      <c r="BZ92" s="1"/>
      <c r="CA92" s="1"/>
      <c r="CB92" s="1"/>
      <c r="CC92" s="1"/>
    </row>
    <row r="93" spans="36:81" ht="17.5" customHeight="1" x14ac:dyDescent="0.45">
      <c r="AJ93" s="1"/>
      <c r="AK93" s="26"/>
      <c r="AL93" s="26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J93" s="9"/>
      <c r="BK93" s="9">
        <v>443</v>
      </c>
      <c r="BL93" s="9" t="s">
        <v>60</v>
      </c>
      <c r="BM93" s="9"/>
      <c r="BN93" s="9"/>
      <c r="BO93" s="9"/>
      <c r="BP93" s="9"/>
      <c r="BQ93" s="9"/>
      <c r="BR93" s="9" t="s">
        <v>41</v>
      </c>
      <c r="BS93" s="9"/>
      <c r="BT93" s="9">
        <v>0</v>
      </c>
      <c r="BU93" s="1"/>
      <c r="BV93" s="1"/>
      <c r="BW93" s="1"/>
      <c r="BX93" s="1"/>
      <c r="BY93" s="1"/>
      <c r="BZ93" s="1"/>
      <c r="CA93" s="1"/>
      <c r="CB93" s="1"/>
      <c r="CC93" s="1"/>
    </row>
    <row r="94" spans="36:81" ht="18" x14ac:dyDescent="0.2"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J94" s="9"/>
      <c r="BK94" s="9">
        <v>450</v>
      </c>
      <c r="BL94" s="9" t="s">
        <v>43</v>
      </c>
      <c r="BM94" s="9"/>
      <c r="BN94" s="9"/>
      <c r="BO94" s="9"/>
      <c r="BP94" s="9"/>
      <c r="BQ94" s="9"/>
      <c r="BR94" s="9" t="s">
        <v>41</v>
      </c>
      <c r="BS94" s="9"/>
      <c r="BT94" s="9">
        <v>0</v>
      </c>
      <c r="BU94" s="1"/>
      <c r="BV94" s="1"/>
      <c r="BW94" s="1"/>
      <c r="BX94" s="1"/>
      <c r="BY94" s="1"/>
      <c r="BZ94" s="1"/>
      <c r="CA94" s="1"/>
      <c r="CB94" s="1"/>
      <c r="CC94" s="1"/>
    </row>
    <row r="95" spans="36:81" ht="18" x14ac:dyDescent="0.2">
      <c r="AJ95" s="8" t="s">
        <v>3</v>
      </c>
      <c r="AK95" s="8" t="s">
        <v>4</v>
      </c>
      <c r="AL95" s="8" t="s">
        <v>5</v>
      </c>
      <c r="AM95" s="8" t="s">
        <v>89</v>
      </c>
      <c r="AN95" s="8" t="s">
        <v>85</v>
      </c>
      <c r="AO95" s="8" t="s">
        <v>98</v>
      </c>
      <c r="AP95" s="8" t="s">
        <v>99</v>
      </c>
      <c r="AQ95" s="8" t="s">
        <v>100</v>
      </c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J95" s="9"/>
      <c r="BK95" s="9">
        <v>454</v>
      </c>
      <c r="BL95" s="9" t="s">
        <v>48</v>
      </c>
      <c r="BM95" s="9"/>
      <c r="BN95" s="9"/>
      <c r="BO95" s="9"/>
      <c r="BP95" s="9"/>
      <c r="BQ95" s="9"/>
      <c r="BR95" s="9" t="s">
        <v>41</v>
      </c>
      <c r="BS95" s="9"/>
      <c r="BT95" s="9">
        <v>0</v>
      </c>
      <c r="BU95" s="1"/>
      <c r="BV95" s="1"/>
      <c r="BW95" s="1"/>
      <c r="BX95" s="1"/>
      <c r="BY95" s="1"/>
      <c r="BZ95" s="1"/>
      <c r="CA95" s="1"/>
      <c r="CB95" s="1"/>
      <c r="CC95" s="1"/>
    </row>
    <row r="96" spans="36:81" ht="18" x14ac:dyDescent="0.2">
      <c r="AJ96" s="9">
        <v>1</v>
      </c>
      <c r="AK96" s="9">
        <v>431</v>
      </c>
      <c r="AL96" s="9" t="s">
        <v>34</v>
      </c>
      <c r="AM96" s="9">
        <v>1211.3879999999999</v>
      </c>
      <c r="AN96" s="9">
        <v>14</v>
      </c>
      <c r="AO96" s="9">
        <v>4.91</v>
      </c>
      <c r="AP96" s="9">
        <v>7197896</v>
      </c>
      <c r="AQ96" s="9">
        <v>100</v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J96" s="9"/>
      <c r="BK96" s="9">
        <v>492</v>
      </c>
      <c r="BL96" s="9" t="s">
        <v>54</v>
      </c>
      <c r="BM96" s="9"/>
      <c r="BN96" s="9"/>
      <c r="BO96" s="9"/>
      <c r="BP96" s="9"/>
      <c r="BQ96" s="9"/>
      <c r="BR96" s="9" t="s">
        <v>41</v>
      </c>
      <c r="BS96" s="9"/>
      <c r="BT96" s="9">
        <v>0</v>
      </c>
      <c r="BU96" s="1"/>
      <c r="BV96" s="1"/>
      <c r="BW96" s="1"/>
      <c r="BX96" s="1"/>
      <c r="BY96" s="1"/>
      <c r="BZ96" s="1"/>
      <c r="CA96" s="1"/>
      <c r="CB96" s="1"/>
      <c r="CC96" s="1"/>
    </row>
    <row r="97" spans="36:81" ht="20" x14ac:dyDescent="0.2">
      <c r="AJ97" s="9">
        <v>2</v>
      </c>
      <c r="AK97" s="9">
        <v>477</v>
      </c>
      <c r="AL97" s="9" t="s">
        <v>40</v>
      </c>
      <c r="AM97" s="9">
        <v>1253.7940000000001</v>
      </c>
      <c r="AN97" s="9">
        <v>14</v>
      </c>
      <c r="AO97" s="9">
        <v>5.57</v>
      </c>
      <c r="AP97" s="9">
        <v>8762325</v>
      </c>
      <c r="AQ97" s="9">
        <v>56.53</v>
      </c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J97" s="2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36:81" ht="18" x14ac:dyDescent="0.2">
      <c r="AJ98" s="9">
        <v>3</v>
      </c>
      <c r="AK98" s="9">
        <v>426</v>
      </c>
      <c r="AL98" s="9" t="s">
        <v>35</v>
      </c>
      <c r="AM98" s="9">
        <v>1198.7370000000001</v>
      </c>
      <c r="AN98" s="9">
        <v>14</v>
      </c>
      <c r="AO98" s="9">
        <v>6.42</v>
      </c>
      <c r="AP98" s="9">
        <v>9223913</v>
      </c>
      <c r="AQ98" s="9">
        <v>43.71</v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J98" s="20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36:81" ht="18" x14ac:dyDescent="0.2">
      <c r="AJ99" s="9">
        <v>4</v>
      </c>
      <c r="AK99" s="9">
        <v>125</v>
      </c>
      <c r="AL99" s="9" t="s">
        <v>44</v>
      </c>
      <c r="AM99" s="9">
        <v>1389.461</v>
      </c>
      <c r="AN99" s="9">
        <v>14</v>
      </c>
      <c r="AO99" s="9">
        <v>5.35</v>
      </c>
      <c r="AP99" s="9">
        <v>10322928</v>
      </c>
      <c r="AQ99" s="9">
        <v>13.17</v>
      </c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36:81" ht="18" x14ac:dyDescent="0.2">
      <c r="AJ100" s="9">
        <v>5</v>
      </c>
      <c r="AK100" s="9">
        <v>48</v>
      </c>
      <c r="AL100" s="9" t="s">
        <v>46</v>
      </c>
      <c r="AM100" s="9">
        <v>1571.1</v>
      </c>
      <c r="AN100" s="9">
        <v>14</v>
      </c>
      <c r="AO100" s="9">
        <v>5.04</v>
      </c>
      <c r="AP100" s="9">
        <v>12433105</v>
      </c>
      <c r="AQ100" s="9">
        <v>0</v>
      </c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36:81" ht="18" x14ac:dyDescent="0.2">
      <c r="AJ101" s="9"/>
      <c r="AK101" s="9">
        <v>2</v>
      </c>
      <c r="AL101" s="9" t="s">
        <v>53</v>
      </c>
      <c r="AM101" s="9"/>
      <c r="AN101" s="9"/>
      <c r="AO101" s="9"/>
      <c r="AP101" s="9"/>
      <c r="AQ101" s="9">
        <v>0</v>
      </c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36:81" ht="18" x14ac:dyDescent="0.2">
      <c r="AJ102" s="9"/>
      <c r="AK102" s="9">
        <v>5</v>
      </c>
      <c r="AL102" s="9" t="s">
        <v>55</v>
      </c>
      <c r="AM102" s="9"/>
      <c r="AN102" s="9"/>
      <c r="AO102" s="9"/>
      <c r="AP102" s="9"/>
      <c r="AQ102" s="9">
        <v>0</v>
      </c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36:81" ht="18" x14ac:dyDescent="0.2">
      <c r="AJ103" s="9"/>
      <c r="AK103" s="9">
        <v>11</v>
      </c>
      <c r="AL103" s="9" t="s">
        <v>56</v>
      </c>
      <c r="AM103" s="9"/>
      <c r="AN103" s="9"/>
      <c r="AO103" s="9"/>
      <c r="AP103" s="9"/>
      <c r="AQ103" s="9">
        <v>0</v>
      </c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36:81" ht="18" x14ac:dyDescent="0.2">
      <c r="AJ104" s="9"/>
      <c r="AK104" s="9">
        <v>13</v>
      </c>
      <c r="AL104" s="9" t="s">
        <v>58</v>
      </c>
      <c r="AM104" s="9"/>
      <c r="AN104" s="9"/>
      <c r="AO104" s="9"/>
      <c r="AP104" s="9"/>
      <c r="AQ104" s="9">
        <v>0</v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36:81" ht="18" x14ac:dyDescent="0.2">
      <c r="AJ105" s="9"/>
      <c r="AK105" s="9">
        <v>14</v>
      </c>
      <c r="AL105" s="9" t="s">
        <v>47</v>
      </c>
      <c r="AM105" s="9"/>
      <c r="AN105" s="9"/>
      <c r="AO105" s="9"/>
      <c r="AP105" s="9"/>
      <c r="AQ105" s="9">
        <v>0</v>
      </c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36:81" ht="18" x14ac:dyDescent="0.2">
      <c r="AJ106" s="9"/>
      <c r="AK106" s="9">
        <v>18</v>
      </c>
      <c r="AL106" s="9" t="s">
        <v>61</v>
      </c>
      <c r="AM106" s="9"/>
      <c r="AN106" s="9"/>
      <c r="AO106" s="9"/>
      <c r="AP106" s="9"/>
      <c r="AQ106" s="9">
        <v>0</v>
      </c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36:81" ht="18" x14ac:dyDescent="0.2">
      <c r="AJ107" s="9"/>
      <c r="AK107" s="9">
        <v>22</v>
      </c>
      <c r="AL107" s="9" t="s">
        <v>50</v>
      </c>
      <c r="AM107" s="9"/>
      <c r="AN107" s="9"/>
      <c r="AO107" s="9"/>
      <c r="AP107" s="9"/>
      <c r="AQ107" s="9">
        <v>0</v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36:81" ht="18" x14ac:dyDescent="0.2">
      <c r="AJ108" s="9"/>
      <c r="AK108" s="9">
        <v>25</v>
      </c>
      <c r="AL108" s="9" t="s">
        <v>95</v>
      </c>
      <c r="AM108" s="9"/>
      <c r="AN108" s="9"/>
      <c r="AO108" s="9"/>
      <c r="AP108" s="9"/>
      <c r="AQ108" s="9">
        <v>0</v>
      </c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36:81" ht="18" x14ac:dyDescent="0.2">
      <c r="AJ109" s="9"/>
      <c r="AK109" s="9">
        <v>46</v>
      </c>
      <c r="AL109" s="9" t="s">
        <v>62</v>
      </c>
      <c r="AM109" s="9"/>
      <c r="AN109" s="9"/>
      <c r="AO109" s="9"/>
      <c r="AP109" s="9"/>
      <c r="AQ109" s="9">
        <v>0</v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36:81" ht="18" x14ac:dyDescent="0.2">
      <c r="AJ110" s="9"/>
      <c r="AK110" s="9">
        <v>57</v>
      </c>
      <c r="AL110" s="9" t="s">
        <v>66</v>
      </c>
      <c r="AM110" s="9"/>
      <c r="AN110" s="9"/>
      <c r="AO110" s="9"/>
      <c r="AP110" s="9"/>
      <c r="AQ110" s="9">
        <v>0</v>
      </c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36:81" ht="18" x14ac:dyDescent="0.2">
      <c r="AJ111" s="9"/>
      <c r="AK111" s="9">
        <v>63</v>
      </c>
      <c r="AL111" s="9" t="s">
        <v>68</v>
      </c>
      <c r="AM111" s="9"/>
      <c r="AN111" s="9"/>
      <c r="AO111" s="9"/>
      <c r="AP111" s="9"/>
      <c r="AQ111" s="9">
        <v>0</v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36:81" ht="18" x14ac:dyDescent="0.2">
      <c r="AJ112" s="9"/>
      <c r="AK112" s="9">
        <v>64</v>
      </c>
      <c r="AL112" s="9" t="s">
        <v>65</v>
      </c>
      <c r="AM112" s="9"/>
      <c r="AN112" s="9"/>
      <c r="AO112" s="9"/>
      <c r="AP112" s="9"/>
      <c r="AQ112" s="9">
        <v>0</v>
      </c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36:58" ht="18" x14ac:dyDescent="0.2">
      <c r="AJ113" s="9"/>
      <c r="AK113" s="9">
        <v>65</v>
      </c>
      <c r="AL113" s="9" t="s">
        <v>69</v>
      </c>
      <c r="AM113" s="9"/>
      <c r="AN113" s="9"/>
      <c r="AO113" s="9"/>
      <c r="AP113" s="9"/>
      <c r="AQ113" s="9">
        <v>0</v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36:58" ht="18" x14ac:dyDescent="0.2">
      <c r="AJ114" s="9"/>
      <c r="AK114" s="9">
        <v>72</v>
      </c>
      <c r="AL114" s="9" t="s">
        <v>71</v>
      </c>
      <c r="AM114" s="9"/>
      <c r="AN114" s="9"/>
      <c r="AO114" s="9"/>
      <c r="AP114" s="9"/>
      <c r="AQ114" s="9">
        <v>0</v>
      </c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36:58" ht="18" x14ac:dyDescent="0.2">
      <c r="AJ115" s="9"/>
      <c r="AK115" s="9">
        <v>73</v>
      </c>
      <c r="AL115" s="9" t="s">
        <v>72</v>
      </c>
      <c r="AM115" s="9"/>
      <c r="AN115" s="9"/>
      <c r="AO115" s="9"/>
      <c r="AP115" s="9"/>
      <c r="AQ115" s="9">
        <v>0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36:58" ht="18" x14ac:dyDescent="0.2">
      <c r="AJ116" s="9">
        <v>6</v>
      </c>
      <c r="AK116" s="9">
        <v>79</v>
      </c>
      <c r="AL116" s="9" t="s">
        <v>59</v>
      </c>
      <c r="AM116" s="9">
        <v>276.82499999999999</v>
      </c>
      <c r="AN116" s="9">
        <v>2</v>
      </c>
      <c r="AO116" s="9"/>
      <c r="AP116" s="9"/>
      <c r="AQ116" s="9">
        <v>0</v>
      </c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36:58" ht="18" x14ac:dyDescent="0.2">
      <c r="AJ117" s="9"/>
      <c r="AK117" s="9">
        <v>81</v>
      </c>
      <c r="AL117" s="9" t="s">
        <v>73</v>
      </c>
      <c r="AM117" s="9"/>
      <c r="AN117" s="9"/>
      <c r="AO117" s="9"/>
      <c r="AP117" s="9"/>
      <c r="AQ117" s="9">
        <v>0</v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36:58" ht="18" x14ac:dyDescent="0.2">
      <c r="AJ118" s="9"/>
      <c r="AK118" s="9">
        <v>83</v>
      </c>
      <c r="AL118" s="9" t="s">
        <v>74</v>
      </c>
      <c r="AM118" s="9"/>
      <c r="AN118" s="9"/>
      <c r="AO118" s="9"/>
      <c r="AP118" s="9"/>
      <c r="AQ118" s="9">
        <v>0</v>
      </c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36:58" ht="18" x14ac:dyDescent="0.2">
      <c r="AJ119" s="9"/>
      <c r="AK119" s="9">
        <v>84</v>
      </c>
      <c r="AL119" s="9" t="s">
        <v>70</v>
      </c>
      <c r="AM119" s="9"/>
      <c r="AN119" s="9"/>
      <c r="AO119" s="9"/>
      <c r="AP119" s="9"/>
      <c r="AQ119" s="9">
        <v>0</v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36:58" ht="18" x14ac:dyDescent="0.2">
      <c r="AJ120" s="9">
        <v>5</v>
      </c>
      <c r="AK120" s="9">
        <v>94</v>
      </c>
      <c r="AL120" s="9" t="s">
        <v>42</v>
      </c>
      <c r="AM120" s="9">
        <v>1177.788</v>
      </c>
      <c r="AN120" s="9">
        <v>14</v>
      </c>
      <c r="AO120" s="9"/>
      <c r="AP120" s="9"/>
      <c r="AQ120" s="9">
        <v>0</v>
      </c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36:58" ht="18" x14ac:dyDescent="0.2">
      <c r="AJ121" s="9"/>
      <c r="AK121" s="9">
        <v>99</v>
      </c>
      <c r="AL121" s="9" t="s">
        <v>75</v>
      </c>
      <c r="AM121" s="9"/>
      <c r="AN121" s="9"/>
      <c r="AO121" s="9"/>
      <c r="AP121" s="9"/>
      <c r="AQ121" s="9">
        <v>0</v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36:58" ht="18" x14ac:dyDescent="0.2">
      <c r="AJ122" s="9"/>
      <c r="AK122" s="9">
        <v>119</v>
      </c>
      <c r="AL122" s="9" t="s">
        <v>76</v>
      </c>
      <c r="AM122" s="9"/>
      <c r="AN122" s="9"/>
      <c r="AO122" s="9"/>
      <c r="AP122" s="9"/>
      <c r="AQ122" s="9">
        <v>0</v>
      </c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36:58" ht="18" x14ac:dyDescent="0.2">
      <c r="AJ123" s="9"/>
      <c r="AK123" s="9">
        <v>133</v>
      </c>
      <c r="AL123" s="9" t="s">
        <v>67</v>
      </c>
      <c r="AM123" s="9"/>
      <c r="AN123" s="9"/>
      <c r="AO123" s="9"/>
      <c r="AP123" s="9"/>
      <c r="AQ123" s="9">
        <v>0</v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36:58" ht="18" x14ac:dyDescent="0.2">
      <c r="AJ124" s="9"/>
      <c r="AK124" s="9">
        <v>165</v>
      </c>
      <c r="AL124" s="9" t="s">
        <v>52</v>
      </c>
      <c r="AM124" s="9"/>
      <c r="AN124" s="9"/>
      <c r="AO124" s="9"/>
      <c r="AP124" s="9"/>
      <c r="AQ124" s="9">
        <v>0</v>
      </c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36:58" ht="18" x14ac:dyDescent="0.2">
      <c r="AJ125" s="9"/>
      <c r="AK125" s="9">
        <v>411</v>
      </c>
      <c r="AL125" s="9" t="s">
        <v>45</v>
      </c>
      <c r="AM125" s="9"/>
      <c r="AN125" s="9"/>
      <c r="AO125" s="9"/>
      <c r="AP125" s="9"/>
      <c r="AQ125" s="9">
        <v>0</v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36:58" ht="18" x14ac:dyDescent="0.2">
      <c r="AJ126" s="9"/>
      <c r="AK126" s="9">
        <v>415</v>
      </c>
      <c r="AL126" s="9" t="s">
        <v>97</v>
      </c>
      <c r="AM126" s="9"/>
      <c r="AN126" s="9"/>
      <c r="AO126" s="9"/>
      <c r="AP126" s="9"/>
      <c r="AQ126" s="9">
        <v>0</v>
      </c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36:58" ht="18" x14ac:dyDescent="0.2">
      <c r="AJ127" s="9"/>
      <c r="AK127" s="9">
        <v>427</v>
      </c>
      <c r="AL127" s="9" t="s">
        <v>51</v>
      </c>
      <c r="AM127" s="9"/>
      <c r="AN127" s="9"/>
      <c r="AO127" s="9"/>
      <c r="AP127" s="9"/>
      <c r="AQ127" s="9">
        <v>0</v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36:58" ht="18" x14ac:dyDescent="0.2">
      <c r="AJ128" s="9"/>
      <c r="AK128" s="9">
        <v>443</v>
      </c>
      <c r="AL128" s="9" t="s">
        <v>60</v>
      </c>
      <c r="AM128" s="9"/>
      <c r="AN128" s="9"/>
      <c r="AO128" s="9"/>
      <c r="AP128" s="9"/>
      <c r="AQ128" s="9">
        <v>0</v>
      </c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36:58" ht="18" x14ac:dyDescent="0.2">
      <c r="AJ129" s="9"/>
      <c r="AK129" s="9">
        <v>450</v>
      </c>
      <c r="AL129" s="9" t="s">
        <v>43</v>
      </c>
      <c r="AM129" s="9"/>
      <c r="AN129" s="9"/>
      <c r="AO129" s="9"/>
      <c r="AP129" s="9"/>
      <c r="AQ129" s="9">
        <v>0</v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36:58" ht="18" x14ac:dyDescent="0.2">
      <c r="AJ130" s="9"/>
      <c r="AK130" s="9">
        <v>454</v>
      </c>
      <c r="AL130" s="9" t="s">
        <v>48</v>
      </c>
      <c r="AM130" s="9"/>
      <c r="AN130" s="9"/>
      <c r="AO130" s="9"/>
      <c r="AP130" s="9"/>
      <c r="AQ130" s="9">
        <v>0</v>
      </c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36:58" ht="18" x14ac:dyDescent="0.2">
      <c r="AJ131" s="9">
        <v>5</v>
      </c>
      <c r="AK131" s="9">
        <v>468</v>
      </c>
      <c r="AL131" s="9" t="s">
        <v>64</v>
      </c>
      <c r="AM131" s="9">
        <v>2141.498</v>
      </c>
      <c r="AN131" s="9">
        <v>14</v>
      </c>
      <c r="AO131" s="9"/>
      <c r="AP131" s="9"/>
      <c r="AQ131" s="9">
        <v>0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36:58" ht="18" x14ac:dyDescent="0.2">
      <c r="AJ132" s="9"/>
      <c r="AK132" s="9">
        <v>492</v>
      </c>
      <c r="AL132" s="9" t="s">
        <v>54</v>
      </c>
      <c r="AM132" s="9"/>
      <c r="AN132" s="9"/>
      <c r="AO132" s="9"/>
      <c r="AP132" s="9"/>
      <c r="AQ132" s="9">
        <v>0</v>
      </c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36:58" ht="20" x14ac:dyDescent="0.2">
      <c r="AJ133" s="21" t="s">
        <v>101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36:58" x14ac:dyDescent="0.2">
      <c r="AJ134" s="20" t="s">
        <v>102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36:58" x14ac:dyDescent="0.2"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</sheetData>
  <mergeCells count="45">
    <mergeCell ref="AK47:AL49"/>
    <mergeCell ref="AK3:AL5"/>
    <mergeCell ref="AK91:AL93"/>
    <mergeCell ref="BJ6:BL8"/>
    <mergeCell ref="T3:V5"/>
    <mergeCell ref="BJ52:BL54"/>
    <mergeCell ref="C40:E40"/>
    <mergeCell ref="C41:E41"/>
    <mergeCell ref="C42:E42"/>
    <mergeCell ref="C43:E43"/>
    <mergeCell ref="C44:E44"/>
    <mergeCell ref="C20:E20"/>
    <mergeCell ref="C33:E33"/>
    <mergeCell ref="C34:E34"/>
    <mergeCell ref="C35:E35"/>
    <mergeCell ref="C36:E36"/>
    <mergeCell ref="C45:E45"/>
    <mergeCell ref="C21:E21"/>
    <mergeCell ref="C22:E22"/>
    <mergeCell ref="C23:E23"/>
    <mergeCell ref="C24:E24"/>
    <mergeCell ref="C25:E25"/>
    <mergeCell ref="C26:E26"/>
    <mergeCell ref="C37:E37"/>
    <mergeCell ref="C38:E38"/>
    <mergeCell ref="C39:E39"/>
    <mergeCell ref="C27:E27"/>
    <mergeCell ref="C28:E28"/>
    <mergeCell ref="C29:E29"/>
    <mergeCell ref="C30:E30"/>
    <mergeCell ref="C31:E31"/>
    <mergeCell ref="C32:E32"/>
    <mergeCell ref="C18:E18"/>
    <mergeCell ref="C19:E19"/>
    <mergeCell ref="C12:E12"/>
    <mergeCell ref="C13:E13"/>
    <mergeCell ref="C14:E14"/>
    <mergeCell ref="C15:E15"/>
    <mergeCell ref="C16:E16"/>
    <mergeCell ref="C17:E17"/>
    <mergeCell ref="D5:E5"/>
    <mergeCell ref="C8:E8"/>
    <mergeCell ref="C9:E9"/>
    <mergeCell ref="C10:E10"/>
    <mergeCell ref="C11:E11"/>
  </mergeCells>
  <hyperlinks>
    <hyperlink ref="AJ134" r:id="rId1" display="https://support.google.com/websearch?p=aimode" xr:uid="{A8C17F6B-9CBB-AF41-BEC4-6EE32094B1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B224-C4F6-47D5-9BB7-E5B7626EE930}">
  <dimension ref="A2:CT46"/>
  <sheetViews>
    <sheetView topLeftCell="K1" zoomScale="66" workbookViewId="0">
      <selection activeCell="V16" sqref="V16:V21"/>
    </sheetView>
  </sheetViews>
  <sheetFormatPr baseColWidth="10" defaultColWidth="11.5" defaultRowHeight="15" x14ac:dyDescent="0.2"/>
  <cols>
    <col min="2" max="2" width="9.33203125" customWidth="1"/>
    <col min="4" max="4" width="42.1640625" customWidth="1"/>
    <col min="5" max="5" width="43.6640625" customWidth="1"/>
    <col min="21" max="21" width="35.1640625" customWidth="1"/>
    <col min="22" max="22" width="33.5" customWidth="1"/>
    <col min="41" max="41" width="25.1640625" customWidth="1"/>
    <col min="42" max="42" width="30.83203125" customWidth="1"/>
    <col min="61" max="61" width="29.5" customWidth="1"/>
    <col min="62" max="62" width="33.5" customWidth="1"/>
    <col min="83" max="83" width="7.1640625" customWidth="1"/>
    <col min="84" max="84" width="8.1640625" customWidth="1"/>
    <col min="85" max="85" width="20.33203125" customWidth="1"/>
    <col min="86" max="86" width="37" customWidth="1"/>
  </cols>
  <sheetData>
    <row r="2" spans="1:9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98" x14ac:dyDescent="0.2">
      <c r="A3" s="2"/>
      <c r="B3" s="2"/>
      <c r="C3" s="2"/>
      <c r="D3" s="23" t="s">
        <v>103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9" t="s">
        <v>104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2" t="s">
        <v>105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I3" s="19" t="s">
        <v>106</v>
      </c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3" t="s">
        <v>107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 x14ac:dyDescent="0.2">
      <c r="A4" s="2"/>
      <c r="B4" s="5" t="s">
        <v>3</v>
      </c>
      <c r="C4" s="5" t="s">
        <v>108</v>
      </c>
      <c r="D4" s="5" t="s">
        <v>109</v>
      </c>
      <c r="E4" s="5" t="s">
        <v>110</v>
      </c>
      <c r="F4" s="5" t="s">
        <v>111</v>
      </c>
      <c r="G4" s="5" t="s">
        <v>112</v>
      </c>
      <c r="H4" s="5" t="s">
        <v>113</v>
      </c>
      <c r="I4" s="5" t="s">
        <v>10</v>
      </c>
      <c r="J4" s="5" t="s">
        <v>9</v>
      </c>
      <c r="K4" s="5" t="s">
        <v>11</v>
      </c>
      <c r="L4" s="5" t="s">
        <v>12</v>
      </c>
      <c r="M4" s="5" t="s">
        <v>13</v>
      </c>
      <c r="N4" s="5" t="s">
        <v>114</v>
      </c>
      <c r="O4" s="5" t="s">
        <v>115</v>
      </c>
      <c r="P4" s="2"/>
      <c r="Q4" s="2"/>
      <c r="R4" s="2"/>
      <c r="S4" s="5" t="s">
        <v>3</v>
      </c>
      <c r="T4" s="5" t="s">
        <v>108</v>
      </c>
      <c r="U4" s="5" t="s">
        <v>109</v>
      </c>
      <c r="V4" s="5" t="s">
        <v>110</v>
      </c>
      <c r="W4" s="5" t="s">
        <v>116</v>
      </c>
      <c r="X4" s="5" t="s">
        <v>117</v>
      </c>
      <c r="Y4" s="5" t="s">
        <v>118</v>
      </c>
      <c r="Z4" s="5" t="s">
        <v>119</v>
      </c>
      <c r="AA4" s="5" t="s">
        <v>120</v>
      </c>
      <c r="AB4" s="5" t="s">
        <v>121</v>
      </c>
      <c r="AC4" s="5" t="s">
        <v>122</v>
      </c>
      <c r="AD4" s="5" t="s">
        <v>123</v>
      </c>
      <c r="AE4" s="5" t="s">
        <v>124</v>
      </c>
      <c r="AF4" s="5" t="s">
        <v>125</v>
      </c>
      <c r="AG4" s="5" t="s">
        <v>126</v>
      </c>
      <c r="AH4" s="5" t="s">
        <v>127</v>
      </c>
      <c r="AI4" s="5" t="s">
        <v>128</v>
      </c>
      <c r="AJ4" s="5" t="s">
        <v>33</v>
      </c>
      <c r="AK4" s="2"/>
      <c r="AL4" s="2"/>
      <c r="AM4" s="5" t="s">
        <v>3</v>
      </c>
      <c r="AN4" s="5" t="s">
        <v>108</v>
      </c>
      <c r="AO4" s="5" t="s">
        <v>109</v>
      </c>
      <c r="AP4" s="5" t="s">
        <v>110</v>
      </c>
      <c r="AQ4" s="5" t="s">
        <v>116</v>
      </c>
      <c r="AR4" s="5" t="s">
        <v>117</v>
      </c>
      <c r="AS4" s="5" t="s">
        <v>129</v>
      </c>
      <c r="AT4" s="5" t="s">
        <v>119</v>
      </c>
      <c r="AU4" s="5" t="s">
        <v>120</v>
      </c>
      <c r="AV4" s="5" t="s">
        <v>130</v>
      </c>
      <c r="AW4" s="5" t="s">
        <v>122</v>
      </c>
      <c r="AX4" s="5" t="s">
        <v>123</v>
      </c>
      <c r="AY4" s="5" t="s">
        <v>131</v>
      </c>
      <c r="AZ4" s="5" t="s">
        <v>125</v>
      </c>
      <c r="BA4" s="5" t="s">
        <v>126</v>
      </c>
      <c r="BB4" s="5" t="s">
        <v>132</v>
      </c>
      <c r="BC4" s="5" t="s">
        <v>128</v>
      </c>
      <c r="BD4" s="5" t="s">
        <v>33</v>
      </c>
      <c r="BE4" s="2"/>
      <c r="BF4" s="2"/>
      <c r="BG4" s="5" t="s">
        <v>3</v>
      </c>
      <c r="BH4" s="5" t="s">
        <v>133</v>
      </c>
      <c r="BI4" s="5" t="s">
        <v>109</v>
      </c>
      <c r="BJ4" s="5" t="s">
        <v>110</v>
      </c>
      <c r="BK4" s="5" t="s">
        <v>134</v>
      </c>
      <c r="BL4" s="5" t="s">
        <v>135</v>
      </c>
      <c r="BM4" s="5" t="s">
        <v>136</v>
      </c>
      <c r="BN4" s="5" t="s">
        <v>137</v>
      </c>
      <c r="BO4" s="5" t="s">
        <v>138</v>
      </c>
      <c r="BP4" s="5" t="s">
        <v>139</v>
      </c>
      <c r="BQ4" s="5" t="s">
        <v>140</v>
      </c>
      <c r="BR4" s="5" t="s">
        <v>141</v>
      </c>
      <c r="BS4" s="5" t="s">
        <v>142</v>
      </c>
      <c r="BT4" s="5" t="s">
        <v>143</v>
      </c>
      <c r="BU4" s="5" t="s">
        <v>144</v>
      </c>
      <c r="BV4" s="5" t="s">
        <v>145</v>
      </c>
      <c r="BW4" s="5" t="s">
        <v>146</v>
      </c>
      <c r="BX4" s="5" t="s">
        <v>147</v>
      </c>
      <c r="BY4" s="5" t="s">
        <v>148</v>
      </c>
      <c r="BZ4" s="5" t="s">
        <v>149</v>
      </c>
      <c r="CA4" s="5" t="s">
        <v>128</v>
      </c>
      <c r="CB4" s="5" t="s">
        <v>33</v>
      </c>
      <c r="CC4" s="2"/>
      <c r="CD4" s="2"/>
      <c r="CE4" s="5" t="s">
        <v>3</v>
      </c>
      <c r="CF4" s="5" t="s">
        <v>133</v>
      </c>
      <c r="CG4" s="5" t="s">
        <v>109</v>
      </c>
      <c r="CH4" s="5" t="s">
        <v>110</v>
      </c>
      <c r="CI4" s="5" t="s">
        <v>150</v>
      </c>
      <c r="CJ4" s="5" t="s">
        <v>85</v>
      </c>
      <c r="CK4" s="5" t="s">
        <v>114</v>
      </c>
      <c r="CL4" s="5" t="s">
        <v>151</v>
      </c>
      <c r="CM4" s="5" t="s">
        <v>152</v>
      </c>
      <c r="CN4" s="5" t="s">
        <v>153</v>
      </c>
      <c r="CO4" s="5" t="s">
        <v>154</v>
      </c>
      <c r="CP4" s="5" t="s">
        <v>91</v>
      </c>
      <c r="CQ4" s="5" t="s">
        <v>155</v>
      </c>
      <c r="CR4" s="5" t="s">
        <v>156</v>
      </c>
      <c r="CS4" s="5" t="s">
        <v>100</v>
      </c>
      <c r="CT4" s="5" t="s">
        <v>15</v>
      </c>
    </row>
    <row r="5" spans="1:98" x14ac:dyDescent="0.2">
      <c r="A5" s="2"/>
      <c r="B5" s="11">
        <v>1</v>
      </c>
      <c r="C5" s="11">
        <v>196</v>
      </c>
      <c r="D5" s="11" t="s">
        <v>157</v>
      </c>
      <c r="E5" s="11" t="s">
        <v>158</v>
      </c>
      <c r="F5" s="15">
        <v>86178</v>
      </c>
      <c r="G5" s="15">
        <v>59029</v>
      </c>
      <c r="H5" s="15">
        <v>136268</v>
      </c>
      <c r="I5" s="11">
        <v>72</v>
      </c>
      <c r="J5" s="11">
        <v>75</v>
      </c>
      <c r="K5" s="11">
        <v>100</v>
      </c>
      <c r="L5" s="11">
        <v>325</v>
      </c>
      <c r="M5" s="15">
        <v>94944</v>
      </c>
      <c r="N5" s="11">
        <v>0</v>
      </c>
      <c r="O5" s="15">
        <v>948419</v>
      </c>
      <c r="P5" s="2"/>
      <c r="Q5" s="2"/>
      <c r="R5" s="2"/>
      <c r="S5" s="2">
        <v>1</v>
      </c>
      <c r="T5" s="2">
        <v>142</v>
      </c>
      <c r="U5" s="2" t="s">
        <v>159</v>
      </c>
      <c r="V5" s="2" t="s">
        <v>160</v>
      </c>
      <c r="W5" s="6">
        <v>3382</v>
      </c>
      <c r="X5" s="2" t="s">
        <v>161</v>
      </c>
      <c r="Y5" s="6">
        <v>3382</v>
      </c>
      <c r="Z5" s="6">
        <v>3394</v>
      </c>
      <c r="AA5" s="2" t="s">
        <v>161</v>
      </c>
      <c r="AB5" s="6">
        <v>3394</v>
      </c>
      <c r="AC5" s="6">
        <v>3347</v>
      </c>
      <c r="AD5" s="2" t="s">
        <v>161</v>
      </c>
      <c r="AE5" s="6">
        <v>3347</v>
      </c>
      <c r="AF5" s="6">
        <v>3302</v>
      </c>
      <c r="AG5" s="2" t="s">
        <v>161</v>
      </c>
      <c r="AH5" s="6">
        <v>3302</v>
      </c>
      <c r="AI5" s="6">
        <v>3302</v>
      </c>
      <c r="AJ5" s="2">
        <v>75</v>
      </c>
      <c r="AK5" s="2"/>
      <c r="AL5" s="2"/>
      <c r="AM5" s="2">
        <v>1</v>
      </c>
      <c r="AN5" s="2">
        <v>196</v>
      </c>
      <c r="AO5" s="2" t="s">
        <v>157</v>
      </c>
      <c r="AP5" s="2" t="s">
        <v>158</v>
      </c>
      <c r="AQ5" s="6">
        <v>4609</v>
      </c>
      <c r="AR5" s="2" t="s">
        <v>161</v>
      </c>
      <c r="AS5" s="6">
        <v>4609</v>
      </c>
      <c r="AT5" s="6">
        <v>4569</v>
      </c>
      <c r="AU5" s="2" t="s">
        <v>161</v>
      </c>
      <c r="AV5" s="6">
        <v>4569</v>
      </c>
      <c r="AW5" s="6">
        <v>4399</v>
      </c>
      <c r="AX5" s="2" t="s">
        <v>161</v>
      </c>
      <c r="AY5" s="6">
        <v>4399</v>
      </c>
      <c r="AZ5" s="6">
        <v>4351</v>
      </c>
      <c r="BA5" s="2" t="s">
        <v>161</v>
      </c>
      <c r="BB5" s="6">
        <v>4351</v>
      </c>
      <c r="BC5" s="6">
        <v>4351</v>
      </c>
      <c r="BD5" s="2">
        <v>75</v>
      </c>
      <c r="BE5" s="2"/>
      <c r="BF5" s="2"/>
      <c r="BG5" s="2">
        <v>1</v>
      </c>
      <c r="BH5" s="2">
        <v>196</v>
      </c>
      <c r="BI5" s="2" t="s">
        <v>157</v>
      </c>
      <c r="BJ5" s="2" t="s">
        <v>158</v>
      </c>
      <c r="BK5" s="6">
        <v>54614</v>
      </c>
      <c r="BL5" s="2">
        <v>0</v>
      </c>
      <c r="BM5" s="2">
        <v>0</v>
      </c>
      <c r="BN5" s="6">
        <v>54614</v>
      </c>
      <c r="BO5" s="6">
        <v>52953</v>
      </c>
      <c r="BP5" s="2">
        <v>0</v>
      </c>
      <c r="BQ5" s="2">
        <v>0</v>
      </c>
      <c r="BR5" s="6">
        <v>52953</v>
      </c>
      <c r="BS5" s="6">
        <v>58131</v>
      </c>
      <c r="BT5" s="2">
        <v>0</v>
      </c>
      <c r="BU5" s="2">
        <v>0</v>
      </c>
      <c r="BV5" s="6">
        <v>58131</v>
      </c>
      <c r="BW5" s="6">
        <v>56621</v>
      </c>
      <c r="BX5" s="2">
        <v>0</v>
      </c>
      <c r="BY5" s="2">
        <v>0</v>
      </c>
      <c r="BZ5" s="6">
        <v>56621</v>
      </c>
      <c r="CA5" s="6">
        <v>52953</v>
      </c>
      <c r="CB5" s="2">
        <v>100</v>
      </c>
      <c r="CC5" s="2"/>
      <c r="CD5" s="2"/>
      <c r="CE5" s="2">
        <v>1</v>
      </c>
      <c r="CF5" s="2">
        <v>196</v>
      </c>
      <c r="CG5" s="2" t="s">
        <v>157</v>
      </c>
      <c r="CH5" s="2" t="s">
        <v>158</v>
      </c>
      <c r="CI5" s="6">
        <v>1484707</v>
      </c>
      <c r="CJ5" s="2">
        <v>26</v>
      </c>
      <c r="CK5" s="2">
        <v>0</v>
      </c>
      <c r="CL5" s="2">
        <v>2</v>
      </c>
      <c r="CM5" s="2">
        <v>0</v>
      </c>
      <c r="CN5" s="6">
        <v>1488707</v>
      </c>
      <c r="CO5" s="6">
        <v>1488707</v>
      </c>
      <c r="CP5" s="2">
        <v>325</v>
      </c>
      <c r="CQ5" s="6">
        <v>5979</v>
      </c>
      <c r="CR5" s="6">
        <v>26738</v>
      </c>
      <c r="CS5" s="6">
        <v>94944</v>
      </c>
      <c r="CT5" s="6">
        <v>419944</v>
      </c>
    </row>
    <row r="6" spans="1:98" x14ac:dyDescent="0.2">
      <c r="A6" s="2"/>
      <c r="B6" s="12">
        <v>2</v>
      </c>
      <c r="C6" s="12">
        <v>142</v>
      </c>
      <c r="D6" s="12" t="s">
        <v>159</v>
      </c>
      <c r="E6" s="12" t="s">
        <v>160</v>
      </c>
      <c r="F6" s="16">
        <v>84947</v>
      </c>
      <c r="G6" s="12">
        <v>74</v>
      </c>
      <c r="H6" s="12">
        <v>150</v>
      </c>
      <c r="I6" s="12">
        <v>75</v>
      </c>
      <c r="J6" s="16">
        <v>58305</v>
      </c>
      <c r="K6" s="16">
        <v>80673</v>
      </c>
      <c r="L6" s="16">
        <v>242203</v>
      </c>
      <c r="M6" s="12">
        <v>100</v>
      </c>
      <c r="N6" s="12">
        <v>10</v>
      </c>
      <c r="O6" s="16">
        <v>855128</v>
      </c>
      <c r="P6" s="2"/>
      <c r="Q6" s="2"/>
      <c r="R6" s="2"/>
      <c r="S6" s="2">
        <v>2</v>
      </c>
      <c r="T6" s="2">
        <v>196</v>
      </c>
      <c r="U6" s="2" t="s">
        <v>157</v>
      </c>
      <c r="V6" s="2" t="s">
        <v>158</v>
      </c>
      <c r="W6" s="6">
        <v>3408</v>
      </c>
      <c r="X6" s="2" t="s">
        <v>161</v>
      </c>
      <c r="Y6" s="6">
        <v>3408</v>
      </c>
      <c r="Z6" s="6">
        <v>3361</v>
      </c>
      <c r="AA6" s="2" t="s">
        <v>161</v>
      </c>
      <c r="AB6" s="6">
        <v>3361</v>
      </c>
      <c r="AC6" s="6">
        <v>3370</v>
      </c>
      <c r="AD6" s="2" t="s">
        <v>161</v>
      </c>
      <c r="AE6" s="6">
        <v>3370</v>
      </c>
      <c r="AF6" s="6">
        <v>3349</v>
      </c>
      <c r="AG6" s="2" t="s">
        <v>161</v>
      </c>
      <c r="AH6" s="6">
        <v>3349</v>
      </c>
      <c r="AI6" s="6">
        <v>3349</v>
      </c>
      <c r="AJ6" s="2">
        <v>72</v>
      </c>
      <c r="AK6" s="2"/>
      <c r="AL6" s="2"/>
      <c r="AM6" s="2">
        <v>2</v>
      </c>
      <c r="AN6" s="2">
        <v>142</v>
      </c>
      <c r="AO6" s="2" t="s">
        <v>159</v>
      </c>
      <c r="AP6" s="2" t="s">
        <v>160</v>
      </c>
      <c r="AQ6" s="6">
        <v>4762</v>
      </c>
      <c r="AR6" s="2" t="s">
        <v>161</v>
      </c>
      <c r="AS6" s="6">
        <v>4762</v>
      </c>
      <c r="AT6" s="6">
        <v>4586</v>
      </c>
      <c r="AU6" s="2" t="s">
        <v>161</v>
      </c>
      <c r="AV6" s="6">
        <v>4586</v>
      </c>
      <c r="AW6" s="6">
        <v>4669</v>
      </c>
      <c r="AX6" s="2" t="s">
        <v>161</v>
      </c>
      <c r="AY6" s="6">
        <v>4669</v>
      </c>
      <c r="AZ6" s="6">
        <v>4547</v>
      </c>
      <c r="BA6" s="2" t="s">
        <v>161</v>
      </c>
      <c r="BB6" s="6">
        <v>4547</v>
      </c>
      <c r="BC6" s="6">
        <v>4547</v>
      </c>
      <c r="BD6" s="6">
        <v>58305</v>
      </c>
      <c r="BE6" s="2"/>
      <c r="BF6" s="2"/>
      <c r="BG6" s="2">
        <v>2</v>
      </c>
      <c r="BH6" s="2">
        <v>142</v>
      </c>
      <c r="BI6" s="2" t="s">
        <v>159</v>
      </c>
      <c r="BJ6" s="2" t="s">
        <v>160</v>
      </c>
      <c r="BK6" s="6">
        <v>59700</v>
      </c>
      <c r="BL6" s="2">
        <v>0</v>
      </c>
      <c r="BM6" s="2">
        <v>0</v>
      </c>
      <c r="BN6" s="6">
        <v>59700</v>
      </c>
      <c r="BO6" s="6">
        <v>61455</v>
      </c>
      <c r="BP6" s="2">
        <v>2</v>
      </c>
      <c r="BQ6" s="2">
        <v>1</v>
      </c>
      <c r="BR6" s="6">
        <v>75455</v>
      </c>
      <c r="BS6" s="6">
        <v>56970</v>
      </c>
      <c r="BT6" s="2">
        <v>0</v>
      </c>
      <c r="BU6" s="2">
        <v>0</v>
      </c>
      <c r="BV6" s="6">
        <v>56970</v>
      </c>
      <c r="BW6" s="6">
        <v>55199</v>
      </c>
      <c r="BX6" s="2">
        <v>0</v>
      </c>
      <c r="BY6" s="2">
        <v>0</v>
      </c>
      <c r="BZ6" s="6">
        <v>55199</v>
      </c>
      <c r="CA6" s="6">
        <v>55199</v>
      </c>
      <c r="CB6" s="6">
        <v>80673</v>
      </c>
      <c r="CC6" s="2"/>
      <c r="CD6" s="2"/>
      <c r="CE6" s="2">
        <v>2</v>
      </c>
      <c r="CF6" s="2">
        <v>142</v>
      </c>
      <c r="CG6" s="2" t="s">
        <v>159</v>
      </c>
      <c r="CH6" s="2" t="s">
        <v>160</v>
      </c>
      <c r="CI6" s="6">
        <v>1601990</v>
      </c>
      <c r="CJ6" s="2">
        <v>26</v>
      </c>
      <c r="CK6" s="2">
        <v>0</v>
      </c>
      <c r="CL6" s="2">
        <v>0</v>
      </c>
      <c r="CM6" s="2">
        <v>0</v>
      </c>
      <c r="CN6" s="6">
        <v>1601990</v>
      </c>
      <c r="CO6" s="6">
        <v>1601990</v>
      </c>
      <c r="CP6" s="6">
        <v>242203</v>
      </c>
      <c r="CQ6" s="6">
        <v>5009</v>
      </c>
      <c r="CR6" s="6">
        <v>22400</v>
      </c>
      <c r="CS6" s="2">
        <v>100</v>
      </c>
      <c r="CT6" s="6">
        <v>342203</v>
      </c>
    </row>
    <row r="7" spans="1:98" x14ac:dyDescent="0.2">
      <c r="A7" s="2"/>
      <c r="B7" s="12">
        <v>3</v>
      </c>
      <c r="C7" s="12">
        <v>170</v>
      </c>
      <c r="D7" s="12" t="s">
        <v>162</v>
      </c>
      <c r="E7" s="12" t="s">
        <v>163</v>
      </c>
      <c r="F7" s="12">
        <v>100</v>
      </c>
      <c r="G7" s="12">
        <v>71</v>
      </c>
      <c r="H7" s="16">
        <v>122535</v>
      </c>
      <c r="I7" s="16">
        <v>27243</v>
      </c>
      <c r="J7" s="16">
        <v>41757</v>
      </c>
      <c r="K7" s="16">
        <v>25437</v>
      </c>
      <c r="L7" s="16">
        <v>167702</v>
      </c>
      <c r="M7" s="16">
        <v>69006</v>
      </c>
      <c r="N7" s="12">
        <v>0</v>
      </c>
      <c r="O7" s="16">
        <v>624680</v>
      </c>
      <c r="P7" s="2"/>
      <c r="Q7" s="2"/>
      <c r="R7" s="2"/>
      <c r="S7" s="2">
        <v>3</v>
      </c>
      <c r="T7" s="2">
        <v>131</v>
      </c>
      <c r="U7" s="2" t="s">
        <v>164</v>
      </c>
      <c r="V7" s="2" t="s">
        <v>165</v>
      </c>
      <c r="W7" s="6">
        <v>3580</v>
      </c>
      <c r="X7" s="2" t="s">
        <v>161</v>
      </c>
      <c r="Y7" s="6">
        <v>3580</v>
      </c>
      <c r="Z7" s="6">
        <v>3573</v>
      </c>
      <c r="AA7" s="2" t="s">
        <v>161</v>
      </c>
      <c r="AB7" s="6">
        <v>3573</v>
      </c>
      <c r="AC7" s="6">
        <v>3481</v>
      </c>
      <c r="AD7" s="2" t="s">
        <v>161</v>
      </c>
      <c r="AE7" s="6">
        <v>3481</v>
      </c>
      <c r="AF7" s="6">
        <v>3456</v>
      </c>
      <c r="AG7" s="2" t="s">
        <v>161</v>
      </c>
      <c r="AH7" s="6">
        <v>3456</v>
      </c>
      <c r="AI7" s="6">
        <v>3456</v>
      </c>
      <c r="AJ7" s="6">
        <v>65475</v>
      </c>
      <c r="AK7" s="2"/>
      <c r="AL7" s="2"/>
      <c r="AM7" s="2">
        <v>3</v>
      </c>
      <c r="AN7" s="2">
        <v>185</v>
      </c>
      <c r="AO7" s="2" t="s">
        <v>166</v>
      </c>
      <c r="AP7" s="2" t="s">
        <v>167</v>
      </c>
      <c r="AQ7" s="6">
        <v>4645</v>
      </c>
      <c r="AR7" s="2" t="s">
        <v>161</v>
      </c>
      <c r="AS7" s="6">
        <v>4645</v>
      </c>
      <c r="AT7" s="6">
        <v>4687</v>
      </c>
      <c r="AU7" s="2" t="s">
        <v>161</v>
      </c>
      <c r="AV7" s="6">
        <v>4687</v>
      </c>
      <c r="AW7" s="6">
        <v>5213</v>
      </c>
      <c r="AX7" s="2" t="s">
        <v>161</v>
      </c>
      <c r="AY7" s="6">
        <v>5213</v>
      </c>
      <c r="AZ7" s="6">
        <v>4977</v>
      </c>
      <c r="BA7" s="2" t="s">
        <v>161</v>
      </c>
      <c r="BB7" s="6">
        <v>4977</v>
      </c>
      <c r="BC7" s="6">
        <v>4645</v>
      </c>
      <c r="BD7" s="6">
        <v>50739</v>
      </c>
      <c r="BE7" s="2"/>
      <c r="BF7" s="2"/>
      <c r="BG7" s="2">
        <v>3</v>
      </c>
      <c r="BH7" s="2">
        <v>159</v>
      </c>
      <c r="BI7" s="2" t="s">
        <v>168</v>
      </c>
      <c r="BJ7" s="2" t="s">
        <v>169</v>
      </c>
      <c r="BK7" s="6">
        <v>59951</v>
      </c>
      <c r="BL7" s="2">
        <v>0</v>
      </c>
      <c r="BM7" s="2">
        <v>0</v>
      </c>
      <c r="BN7" s="6">
        <v>59951</v>
      </c>
      <c r="BO7" s="6">
        <v>58424</v>
      </c>
      <c r="BP7" s="2">
        <v>0</v>
      </c>
      <c r="BQ7" s="2">
        <v>0</v>
      </c>
      <c r="BR7" s="6">
        <v>58424</v>
      </c>
      <c r="BS7" s="6">
        <v>60297</v>
      </c>
      <c r="BT7" s="2">
        <v>5</v>
      </c>
      <c r="BU7" s="2">
        <v>1</v>
      </c>
      <c r="BV7" s="6">
        <v>80297</v>
      </c>
      <c r="BW7" s="6">
        <v>57220</v>
      </c>
      <c r="BX7" s="2">
        <v>0</v>
      </c>
      <c r="BY7" s="2">
        <v>0</v>
      </c>
      <c r="BZ7" s="6">
        <v>57220</v>
      </c>
      <c r="CA7" s="6">
        <v>57220</v>
      </c>
      <c r="CB7" s="6">
        <v>64578</v>
      </c>
      <c r="CC7" s="2"/>
      <c r="CD7" s="2"/>
      <c r="CE7" s="2">
        <v>3</v>
      </c>
      <c r="CF7" s="2">
        <v>170</v>
      </c>
      <c r="CG7" s="2" t="s">
        <v>162</v>
      </c>
      <c r="CH7" s="2" t="s">
        <v>163</v>
      </c>
      <c r="CI7" s="6">
        <v>1709740</v>
      </c>
      <c r="CJ7" s="2">
        <v>26</v>
      </c>
      <c r="CK7" s="2">
        <v>4</v>
      </c>
      <c r="CL7" s="2">
        <v>3</v>
      </c>
      <c r="CM7" s="2">
        <v>0</v>
      </c>
      <c r="CN7" s="6">
        <v>1719740</v>
      </c>
      <c r="CO7" s="6">
        <v>1719740</v>
      </c>
      <c r="CP7" s="6">
        <v>167702</v>
      </c>
      <c r="CQ7" s="6">
        <v>5079</v>
      </c>
      <c r="CR7" s="6">
        <v>22714</v>
      </c>
      <c r="CS7" s="6">
        <v>69006</v>
      </c>
      <c r="CT7" s="6">
        <v>236708</v>
      </c>
    </row>
    <row r="8" spans="1:98" x14ac:dyDescent="0.2">
      <c r="A8" s="2"/>
      <c r="B8" s="12">
        <v>4</v>
      </c>
      <c r="C8" s="12">
        <v>126</v>
      </c>
      <c r="D8" s="12" t="s">
        <v>170</v>
      </c>
      <c r="E8" s="12" t="s">
        <v>171</v>
      </c>
      <c r="F8" s="16">
        <v>76989</v>
      </c>
      <c r="G8" s="16">
        <v>56140</v>
      </c>
      <c r="H8" s="16">
        <v>115141</v>
      </c>
      <c r="I8" s="16">
        <v>49715</v>
      </c>
      <c r="J8" s="16">
        <v>36369</v>
      </c>
      <c r="K8" s="16">
        <v>13482</v>
      </c>
      <c r="L8" s="16">
        <v>121798</v>
      </c>
      <c r="M8" s="16">
        <v>33750</v>
      </c>
      <c r="N8" s="12">
        <v>0</v>
      </c>
      <c r="O8" s="16">
        <v>503383</v>
      </c>
      <c r="P8" s="2"/>
      <c r="Q8" s="2"/>
      <c r="R8" s="2"/>
      <c r="S8" s="2">
        <v>4</v>
      </c>
      <c r="T8" s="2">
        <v>158</v>
      </c>
      <c r="U8" s="2" t="s">
        <v>172</v>
      </c>
      <c r="V8" s="2" t="s">
        <v>173</v>
      </c>
      <c r="W8" s="6">
        <v>3684</v>
      </c>
      <c r="X8" s="2" t="s">
        <v>161</v>
      </c>
      <c r="Y8" s="6">
        <v>3684</v>
      </c>
      <c r="Z8" s="6">
        <v>3557</v>
      </c>
      <c r="AA8" s="2" t="s">
        <v>161</v>
      </c>
      <c r="AB8" s="6">
        <v>3557</v>
      </c>
      <c r="AC8" s="6">
        <v>3557</v>
      </c>
      <c r="AD8" s="2" t="s">
        <v>161</v>
      </c>
      <c r="AE8" s="6">
        <v>3557</v>
      </c>
      <c r="AF8" s="6">
        <v>3549</v>
      </c>
      <c r="AG8" s="2" t="s">
        <v>161</v>
      </c>
      <c r="AH8" s="6">
        <v>3549</v>
      </c>
      <c r="AI8" s="6">
        <v>3549</v>
      </c>
      <c r="AJ8" s="6">
        <v>60124</v>
      </c>
      <c r="AK8" s="2"/>
      <c r="AL8" s="2"/>
      <c r="AM8" s="2">
        <v>4</v>
      </c>
      <c r="AN8" s="2">
        <v>131</v>
      </c>
      <c r="AO8" s="2" t="s">
        <v>164</v>
      </c>
      <c r="AP8" s="2" t="s">
        <v>165</v>
      </c>
      <c r="AQ8" s="2" t="s">
        <v>161</v>
      </c>
      <c r="AR8" s="2" t="s">
        <v>161</v>
      </c>
      <c r="AS8" s="2" t="s">
        <v>41</v>
      </c>
      <c r="AT8" s="6">
        <v>4906</v>
      </c>
      <c r="AU8" s="2" t="s">
        <v>161</v>
      </c>
      <c r="AV8" s="6">
        <v>4906</v>
      </c>
      <c r="AW8" s="6">
        <v>5071</v>
      </c>
      <c r="AX8" s="2" t="s">
        <v>161</v>
      </c>
      <c r="AY8" s="6">
        <v>5071</v>
      </c>
      <c r="AZ8" s="6">
        <v>4661</v>
      </c>
      <c r="BA8" s="2" t="s">
        <v>161</v>
      </c>
      <c r="BB8" s="6">
        <v>4661</v>
      </c>
      <c r="BC8" s="6">
        <v>4661</v>
      </c>
      <c r="BD8" s="6">
        <v>49549</v>
      </c>
      <c r="BE8" s="2"/>
      <c r="BF8" s="2"/>
      <c r="BG8" s="2">
        <v>4</v>
      </c>
      <c r="BH8" s="2">
        <v>158</v>
      </c>
      <c r="BI8" s="2" t="s">
        <v>172</v>
      </c>
      <c r="BJ8" s="2" t="s">
        <v>173</v>
      </c>
      <c r="BK8" s="6">
        <v>62818</v>
      </c>
      <c r="BL8" s="2">
        <v>1</v>
      </c>
      <c r="BM8" s="2">
        <v>0</v>
      </c>
      <c r="BN8" s="6">
        <v>64818</v>
      </c>
      <c r="BO8" s="6">
        <v>58355</v>
      </c>
      <c r="BP8" s="2">
        <v>1</v>
      </c>
      <c r="BQ8" s="2">
        <v>0</v>
      </c>
      <c r="BR8" s="6">
        <v>60355</v>
      </c>
      <c r="BS8" s="6">
        <v>66655</v>
      </c>
      <c r="BT8" s="2">
        <v>0</v>
      </c>
      <c r="BU8" s="2">
        <v>0</v>
      </c>
      <c r="BV8" s="6">
        <v>66655</v>
      </c>
      <c r="BW8" s="6">
        <v>58676</v>
      </c>
      <c r="BX8" s="2">
        <v>0</v>
      </c>
      <c r="BY8" s="2">
        <v>0</v>
      </c>
      <c r="BZ8" s="6">
        <v>58676</v>
      </c>
      <c r="CA8" s="6">
        <v>58676</v>
      </c>
      <c r="CB8" s="6">
        <v>53671</v>
      </c>
      <c r="CC8" s="2"/>
      <c r="CD8" s="2"/>
      <c r="CE8" s="2">
        <v>4</v>
      </c>
      <c r="CF8" s="2">
        <v>126</v>
      </c>
      <c r="CG8" s="2" t="s">
        <v>170</v>
      </c>
      <c r="CH8" s="2" t="s">
        <v>171</v>
      </c>
      <c r="CI8" s="6">
        <v>1797320</v>
      </c>
      <c r="CJ8" s="2">
        <v>26</v>
      </c>
      <c r="CK8" s="2">
        <v>0</v>
      </c>
      <c r="CL8" s="2">
        <v>2</v>
      </c>
      <c r="CM8" s="2">
        <v>0</v>
      </c>
      <c r="CN8" s="6">
        <v>1801320</v>
      </c>
      <c r="CO8" s="6">
        <v>1801320</v>
      </c>
      <c r="CP8" s="6">
        <v>121798</v>
      </c>
      <c r="CQ8" s="6">
        <v>5297</v>
      </c>
      <c r="CR8" s="6">
        <v>23691</v>
      </c>
      <c r="CS8" s="6">
        <v>33750</v>
      </c>
      <c r="CT8" s="6">
        <v>155548</v>
      </c>
    </row>
    <row r="9" spans="1:98" x14ac:dyDescent="0.2">
      <c r="A9" s="2"/>
      <c r="B9" s="12">
        <v>5</v>
      </c>
      <c r="C9" s="12">
        <v>185</v>
      </c>
      <c r="D9" s="12" t="s">
        <v>166</v>
      </c>
      <c r="E9" s="12" t="s">
        <v>167</v>
      </c>
      <c r="F9" s="16">
        <v>96749</v>
      </c>
      <c r="G9" s="16">
        <v>68523</v>
      </c>
      <c r="H9" s="16">
        <v>143662</v>
      </c>
      <c r="I9" s="16">
        <v>59231</v>
      </c>
      <c r="J9" s="16">
        <v>50739</v>
      </c>
      <c r="K9" s="16">
        <v>50120</v>
      </c>
      <c r="L9" s="12">
        <v>0</v>
      </c>
      <c r="M9" s="12">
        <v>0</v>
      </c>
      <c r="N9" s="12">
        <v>0</v>
      </c>
      <c r="O9" s="16">
        <v>469024</v>
      </c>
      <c r="P9" s="2"/>
      <c r="Q9" s="2"/>
      <c r="R9" s="2"/>
      <c r="S9" s="2">
        <v>5</v>
      </c>
      <c r="T9" s="2">
        <v>185</v>
      </c>
      <c r="U9" s="2" t="s">
        <v>166</v>
      </c>
      <c r="V9" s="2" t="s">
        <v>167</v>
      </c>
      <c r="W9" s="6">
        <v>4220</v>
      </c>
      <c r="X9" s="2" t="s">
        <v>161</v>
      </c>
      <c r="Y9" s="6">
        <v>4220</v>
      </c>
      <c r="Z9" s="6">
        <v>4262</v>
      </c>
      <c r="AA9" s="2" t="s">
        <v>161</v>
      </c>
      <c r="AB9" s="6">
        <v>4262</v>
      </c>
      <c r="AC9" s="6">
        <v>3625</v>
      </c>
      <c r="AD9" s="2" t="s">
        <v>161</v>
      </c>
      <c r="AE9" s="6">
        <v>3625</v>
      </c>
      <c r="AF9" s="6">
        <v>3565</v>
      </c>
      <c r="AG9" s="2" t="s">
        <v>161</v>
      </c>
      <c r="AH9" s="6">
        <v>3565</v>
      </c>
      <c r="AI9" s="6">
        <v>3565</v>
      </c>
      <c r="AJ9" s="6">
        <v>59231</v>
      </c>
      <c r="AK9" s="2"/>
      <c r="AL9" s="2"/>
      <c r="AM9" s="2">
        <v>5</v>
      </c>
      <c r="AN9" s="2">
        <v>158</v>
      </c>
      <c r="AO9" s="2" t="s">
        <v>172</v>
      </c>
      <c r="AP9" s="2" t="s">
        <v>173</v>
      </c>
      <c r="AQ9" s="6">
        <v>4735</v>
      </c>
      <c r="AR9" s="2" t="s">
        <v>161</v>
      </c>
      <c r="AS9" s="6">
        <v>4735</v>
      </c>
      <c r="AT9" s="6">
        <v>4676</v>
      </c>
      <c r="AU9" s="2" t="s">
        <v>161</v>
      </c>
      <c r="AV9" s="6">
        <v>4676</v>
      </c>
      <c r="AW9" s="2" t="s">
        <v>161</v>
      </c>
      <c r="AX9" s="2" t="s">
        <v>161</v>
      </c>
      <c r="AY9" s="2" t="s">
        <v>41</v>
      </c>
      <c r="AZ9" s="6">
        <v>4836</v>
      </c>
      <c r="BA9" s="2" t="s">
        <v>161</v>
      </c>
      <c r="BB9" s="6">
        <v>4836</v>
      </c>
      <c r="BC9" s="6">
        <v>4676</v>
      </c>
      <c r="BD9" s="6">
        <v>48444</v>
      </c>
      <c r="BE9" s="2"/>
      <c r="BF9" s="2"/>
      <c r="BG9" s="2">
        <v>5</v>
      </c>
      <c r="BH9" s="2">
        <v>131</v>
      </c>
      <c r="BI9" s="2" t="s">
        <v>164</v>
      </c>
      <c r="BJ9" s="2" t="s">
        <v>165</v>
      </c>
      <c r="BK9" s="6">
        <v>59984</v>
      </c>
      <c r="BL9" s="2">
        <v>3</v>
      </c>
      <c r="BM9" s="2">
        <v>0</v>
      </c>
      <c r="BN9" s="6">
        <v>65984</v>
      </c>
      <c r="BO9" s="6">
        <v>60447</v>
      </c>
      <c r="BP9" s="2">
        <v>0</v>
      </c>
      <c r="BQ9" s="2">
        <v>0</v>
      </c>
      <c r="BR9" s="6">
        <v>60447</v>
      </c>
      <c r="BS9" s="6">
        <v>61973</v>
      </c>
      <c r="BT9" s="2">
        <v>0</v>
      </c>
      <c r="BU9" s="2">
        <v>0</v>
      </c>
      <c r="BV9" s="6">
        <v>61973</v>
      </c>
      <c r="BW9" s="6">
        <v>58994</v>
      </c>
      <c r="BX9" s="2">
        <v>0</v>
      </c>
      <c r="BY9" s="2">
        <v>0</v>
      </c>
      <c r="BZ9" s="6">
        <v>58994</v>
      </c>
      <c r="CA9" s="6">
        <v>58994</v>
      </c>
      <c r="CB9" s="6">
        <v>51360</v>
      </c>
      <c r="CC9" s="2"/>
      <c r="CD9" s="2"/>
      <c r="CE9" s="2">
        <v>5</v>
      </c>
      <c r="CF9" s="2">
        <v>121</v>
      </c>
      <c r="CG9" s="2" t="s">
        <v>174</v>
      </c>
      <c r="CH9" s="2" t="s">
        <v>175</v>
      </c>
      <c r="CI9" s="6">
        <v>1791954</v>
      </c>
      <c r="CJ9" s="2">
        <v>26</v>
      </c>
      <c r="CK9" s="2">
        <v>120</v>
      </c>
      <c r="CL9" s="2">
        <v>2</v>
      </c>
      <c r="CM9" s="2">
        <v>1</v>
      </c>
      <c r="CN9" s="6">
        <v>1935954</v>
      </c>
      <c r="CO9" s="6">
        <v>1925954</v>
      </c>
      <c r="CP9" s="6">
        <v>59177</v>
      </c>
      <c r="CQ9" s="6">
        <v>5470</v>
      </c>
      <c r="CR9" s="6">
        <v>24466</v>
      </c>
      <c r="CS9" s="6">
        <v>26685</v>
      </c>
      <c r="CT9" s="6">
        <v>85862</v>
      </c>
    </row>
    <row r="10" spans="1:98" x14ac:dyDescent="0.2">
      <c r="A10" s="2"/>
      <c r="B10" s="12">
        <v>6</v>
      </c>
      <c r="C10" s="12">
        <v>158</v>
      </c>
      <c r="D10" s="12" t="s">
        <v>172</v>
      </c>
      <c r="E10" s="12" t="s">
        <v>173</v>
      </c>
      <c r="F10" s="16">
        <v>91604</v>
      </c>
      <c r="G10" s="16">
        <v>59029</v>
      </c>
      <c r="H10" s="16">
        <v>120423</v>
      </c>
      <c r="I10" s="16">
        <v>60124</v>
      </c>
      <c r="J10" s="16">
        <v>48444</v>
      </c>
      <c r="K10" s="16">
        <v>53671</v>
      </c>
      <c r="L10" s="12">
        <v>0</v>
      </c>
      <c r="M10" s="12">
        <v>0</v>
      </c>
      <c r="N10" s="12">
        <v>50</v>
      </c>
      <c r="O10" s="16">
        <v>383295</v>
      </c>
      <c r="P10" s="2"/>
      <c r="Q10" s="2"/>
      <c r="R10" s="2"/>
      <c r="S10" s="2">
        <v>6</v>
      </c>
      <c r="T10" s="2">
        <v>159</v>
      </c>
      <c r="U10" s="2" t="s">
        <v>168</v>
      </c>
      <c r="V10" s="2" t="s">
        <v>169</v>
      </c>
      <c r="W10" s="6">
        <v>3630</v>
      </c>
      <c r="X10" s="2" t="s">
        <v>161</v>
      </c>
      <c r="Y10" s="6">
        <v>3630</v>
      </c>
      <c r="Z10" s="6">
        <v>3597</v>
      </c>
      <c r="AA10" s="2" t="s">
        <v>161</v>
      </c>
      <c r="AB10" s="6">
        <v>3597</v>
      </c>
      <c r="AC10" s="6">
        <v>3609</v>
      </c>
      <c r="AD10" s="2" t="s">
        <v>161</v>
      </c>
      <c r="AE10" s="6">
        <v>3609</v>
      </c>
      <c r="AF10" s="6">
        <v>3568</v>
      </c>
      <c r="AG10" s="2" t="s">
        <v>161</v>
      </c>
      <c r="AH10" s="6">
        <v>3568</v>
      </c>
      <c r="AI10" s="6">
        <v>3568</v>
      </c>
      <c r="AJ10" s="6">
        <v>59065</v>
      </c>
      <c r="AK10" s="2"/>
      <c r="AL10" s="2"/>
      <c r="AM10" s="2">
        <v>6</v>
      </c>
      <c r="AN10" s="2">
        <v>159</v>
      </c>
      <c r="AO10" s="2" t="s">
        <v>168</v>
      </c>
      <c r="AP10" s="2" t="s">
        <v>169</v>
      </c>
      <c r="AQ10" s="6">
        <v>4765</v>
      </c>
      <c r="AR10" s="2" t="s">
        <v>161</v>
      </c>
      <c r="AS10" s="6">
        <v>4765</v>
      </c>
      <c r="AT10" s="6">
        <v>4736</v>
      </c>
      <c r="AU10" s="2" t="s">
        <v>161</v>
      </c>
      <c r="AV10" s="6">
        <v>4736</v>
      </c>
      <c r="AW10" s="6">
        <v>4732</v>
      </c>
      <c r="AX10" s="2" t="s">
        <v>161</v>
      </c>
      <c r="AY10" s="6">
        <v>4732</v>
      </c>
      <c r="AZ10" s="6">
        <v>4702</v>
      </c>
      <c r="BA10" s="2" t="s">
        <v>161</v>
      </c>
      <c r="BB10" s="6">
        <v>4702</v>
      </c>
      <c r="BC10" s="6">
        <v>4702</v>
      </c>
      <c r="BD10" s="6">
        <v>46554</v>
      </c>
      <c r="BE10" s="2"/>
      <c r="BF10" s="2"/>
      <c r="BG10" s="2">
        <v>6</v>
      </c>
      <c r="BH10" s="2">
        <v>185</v>
      </c>
      <c r="BI10" s="2" t="s">
        <v>166</v>
      </c>
      <c r="BJ10" s="2" t="s">
        <v>167</v>
      </c>
      <c r="BK10" s="6">
        <v>61389</v>
      </c>
      <c r="BL10" s="2">
        <v>2</v>
      </c>
      <c r="BM10" s="2">
        <v>0</v>
      </c>
      <c r="BN10" s="6">
        <v>65389</v>
      </c>
      <c r="BO10" s="6">
        <v>59166</v>
      </c>
      <c r="BP10" s="2">
        <v>0</v>
      </c>
      <c r="BQ10" s="2">
        <v>0</v>
      </c>
      <c r="BR10" s="6">
        <v>59166</v>
      </c>
      <c r="BS10" s="6">
        <v>66155</v>
      </c>
      <c r="BT10" s="2">
        <v>0</v>
      </c>
      <c r="BU10" s="2">
        <v>0</v>
      </c>
      <c r="BV10" s="6">
        <v>66155</v>
      </c>
      <c r="BW10" s="6">
        <v>64346</v>
      </c>
      <c r="BX10" s="2">
        <v>1</v>
      </c>
      <c r="BY10" s="2">
        <v>0</v>
      </c>
      <c r="BZ10" s="6">
        <v>66346</v>
      </c>
      <c r="CA10" s="6">
        <v>59166</v>
      </c>
      <c r="CB10" s="6">
        <v>50120</v>
      </c>
      <c r="CC10" s="2"/>
      <c r="CD10" s="2"/>
      <c r="CE10" s="2">
        <v>6</v>
      </c>
      <c r="CF10" s="2">
        <v>106</v>
      </c>
      <c r="CG10" s="2" t="s">
        <v>176</v>
      </c>
      <c r="CH10" s="2" t="s">
        <v>177</v>
      </c>
      <c r="CI10" s="6">
        <v>1973537</v>
      </c>
      <c r="CJ10" s="2">
        <v>26</v>
      </c>
      <c r="CK10" s="2">
        <v>0</v>
      </c>
      <c r="CL10" s="2">
        <v>4</v>
      </c>
      <c r="CM10" s="2">
        <v>0</v>
      </c>
      <c r="CN10" s="6">
        <v>1981537</v>
      </c>
      <c r="CO10" s="6">
        <v>1981537</v>
      </c>
      <c r="CP10" s="6">
        <v>33790</v>
      </c>
      <c r="CQ10" s="6">
        <v>4331</v>
      </c>
      <c r="CR10" s="6">
        <v>19369</v>
      </c>
      <c r="CS10" s="6">
        <v>37547</v>
      </c>
      <c r="CT10" s="6">
        <v>71337</v>
      </c>
    </row>
    <row r="11" spans="1:98" x14ac:dyDescent="0.2">
      <c r="A11" s="2"/>
      <c r="B11" s="12">
        <v>7</v>
      </c>
      <c r="C11" s="12">
        <v>159</v>
      </c>
      <c r="D11" s="12" t="s">
        <v>168</v>
      </c>
      <c r="E11" s="12" t="s">
        <v>169</v>
      </c>
      <c r="F11" s="16">
        <v>56853</v>
      </c>
      <c r="G11" s="16">
        <v>50360</v>
      </c>
      <c r="H11" s="16">
        <v>120423</v>
      </c>
      <c r="I11" s="16">
        <v>59065</v>
      </c>
      <c r="J11" s="16">
        <v>46554</v>
      </c>
      <c r="K11" s="16">
        <v>64578</v>
      </c>
      <c r="L11" s="12">
        <v>0</v>
      </c>
      <c r="M11" s="12">
        <v>0</v>
      </c>
      <c r="N11" s="12">
        <v>20</v>
      </c>
      <c r="O11" s="16">
        <v>377833</v>
      </c>
      <c r="P11" s="2"/>
      <c r="Q11" s="2"/>
      <c r="R11" s="2"/>
      <c r="S11" s="2">
        <v>7</v>
      </c>
      <c r="T11" s="2">
        <v>126</v>
      </c>
      <c r="U11" s="2" t="s">
        <v>170</v>
      </c>
      <c r="V11" s="2" t="s">
        <v>171</v>
      </c>
      <c r="W11" s="6">
        <v>3939</v>
      </c>
      <c r="X11" s="2" t="s">
        <v>161</v>
      </c>
      <c r="Y11" s="6">
        <v>3939</v>
      </c>
      <c r="Z11" s="6">
        <v>3788</v>
      </c>
      <c r="AA11" s="2" t="s">
        <v>161</v>
      </c>
      <c r="AB11" s="6">
        <v>3788</v>
      </c>
      <c r="AC11" s="6">
        <v>3772</v>
      </c>
      <c r="AD11" s="2" t="s">
        <v>161</v>
      </c>
      <c r="AE11" s="6">
        <v>3772</v>
      </c>
      <c r="AF11" s="6">
        <v>3745</v>
      </c>
      <c r="AG11" s="2" t="s">
        <v>161</v>
      </c>
      <c r="AH11" s="6">
        <v>3745</v>
      </c>
      <c r="AI11" s="6">
        <v>3745</v>
      </c>
      <c r="AJ11" s="6">
        <v>49715</v>
      </c>
      <c r="AK11" s="2"/>
      <c r="AL11" s="2"/>
      <c r="AM11" s="2">
        <v>7</v>
      </c>
      <c r="AN11" s="2">
        <v>170</v>
      </c>
      <c r="AO11" s="2" t="s">
        <v>162</v>
      </c>
      <c r="AP11" s="2" t="s">
        <v>163</v>
      </c>
      <c r="AQ11" s="6">
        <v>5095</v>
      </c>
      <c r="AR11" s="2">
        <v>1</v>
      </c>
      <c r="AS11" s="6">
        <v>5295</v>
      </c>
      <c r="AT11" s="6">
        <v>4770</v>
      </c>
      <c r="AU11" s="2" t="s">
        <v>161</v>
      </c>
      <c r="AV11" s="6">
        <v>4770</v>
      </c>
      <c r="AW11" s="6">
        <v>4923</v>
      </c>
      <c r="AX11" s="2" t="s">
        <v>161</v>
      </c>
      <c r="AY11" s="6">
        <v>4923</v>
      </c>
      <c r="AZ11" s="6">
        <v>4901</v>
      </c>
      <c r="BA11" s="2" t="s">
        <v>161</v>
      </c>
      <c r="BB11" s="6">
        <v>4901</v>
      </c>
      <c r="BC11" s="6">
        <v>4770</v>
      </c>
      <c r="BD11" s="6">
        <v>41757</v>
      </c>
      <c r="BE11" s="2"/>
      <c r="BF11" s="2"/>
      <c r="BG11" s="2">
        <v>7</v>
      </c>
      <c r="BH11" s="2">
        <v>170</v>
      </c>
      <c r="BI11" s="2" t="s">
        <v>162</v>
      </c>
      <c r="BJ11" s="2" t="s">
        <v>163</v>
      </c>
      <c r="BK11" s="6">
        <v>62813</v>
      </c>
      <c r="BL11" s="2">
        <v>0</v>
      </c>
      <c r="BM11" s="2">
        <v>0</v>
      </c>
      <c r="BN11" s="6">
        <v>62813</v>
      </c>
      <c r="BO11" s="6">
        <v>62545</v>
      </c>
      <c r="BP11" s="2">
        <v>2</v>
      </c>
      <c r="BQ11" s="2">
        <v>0</v>
      </c>
      <c r="BR11" s="6">
        <v>66545</v>
      </c>
      <c r="BS11" s="6">
        <v>64530</v>
      </c>
      <c r="BT11" s="2">
        <v>0</v>
      </c>
      <c r="BU11" s="2">
        <v>1</v>
      </c>
      <c r="BV11" s="6">
        <v>74530</v>
      </c>
      <c r="BW11" s="6">
        <v>62553</v>
      </c>
      <c r="BX11" s="2">
        <v>0</v>
      </c>
      <c r="BY11" s="2">
        <v>1</v>
      </c>
      <c r="BZ11" s="6">
        <v>72553</v>
      </c>
      <c r="CA11" s="6">
        <v>62813</v>
      </c>
      <c r="CB11" s="6">
        <v>25437</v>
      </c>
      <c r="CC11" s="2"/>
      <c r="CD11" s="2"/>
      <c r="CE11" s="2">
        <v>7</v>
      </c>
      <c r="CF11" s="2">
        <v>140</v>
      </c>
      <c r="CG11" s="2" t="s">
        <v>178</v>
      </c>
      <c r="CH11" s="2" t="s">
        <v>179</v>
      </c>
      <c r="CI11" s="6">
        <v>1940376</v>
      </c>
      <c r="CJ11" s="2">
        <v>26</v>
      </c>
      <c r="CK11" s="2">
        <v>0</v>
      </c>
      <c r="CL11" s="2">
        <v>11</v>
      </c>
      <c r="CM11" s="2">
        <v>1</v>
      </c>
      <c r="CN11" s="6">
        <v>1982376</v>
      </c>
      <c r="CO11" s="6">
        <v>1972376</v>
      </c>
      <c r="CP11" s="6">
        <v>37875</v>
      </c>
      <c r="CQ11" s="6">
        <v>6842</v>
      </c>
      <c r="CR11" s="6">
        <v>30600</v>
      </c>
      <c r="CS11" s="2">
        <v>0</v>
      </c>
      <c r="CT11" s="6">
        <v>37875</v>
      </c>
    </row>
    <row r="12" spans="1:98" x14ac:dyDescent="0.2">
      <c r="A12" s="2"/>
      <c r="B12" s="12">
        <v>8</v>
      </c>
      <c r="C12" s="12">
        <v>131</v>
      </c>
      <c r="D12" s="12" t="s">
        <v>164</v>
      </c>
      <c r="E12" s="12" t="s">
        <v>165</v>
      </c>
      <c r="F12" s="16">
        <v>83013</v>
      </c>
      <c r="G12" s="16">
        <v>64395</v>
      </c>
      <c r="H12" s="16">
        <v>138380</v>
      </c>
      <c r="I12" s="16">
        <v>65475</v>
      </c>
      <c r="J12" s="16">
        <v>49549</v>
      </c>
      <c r="K12" s="16">
        <v>51360</v>
      </c>
      <c r="L12" s="12">
        <v>0</v>
      </c>
      <c r="M12" s="12">
        <v>0</v>
      </c>
      <c r="N12" s="12">
        <v>80</v>
      </c>
      <c r="O12" s="16">
        <v>372173</v>
      </c>
      <c r="P12" s="2"/>
      <c r="Q12" s="2"/>
      <c r="R12" s="2"/>
      <c r="S12" s="2">
        <v>8</v>
      </c>
      <c r="T12" s="2">
        <v>133</v>
      </c>
      <c r="U12" s="2" t="s">
        <v>180</v>
      </c>
      <c r="V12" s="2" t="s">
        <v>181</v>
      </c>
      <c r="W12" s="6">
        <v>3943</v>
      </c>
      <c r="X12" s="2" t="s">
        <v>161</v>
      </c>
      <c r="Y12" s="6">
        <v>3943</v>
      </c>
      <c r="Z12" s="6">
        <v>3812</v>
      </c>
      <c r="AA12" s="2" t="s">
        <v>161</v>
      </c>
      <c r="AB12" s="6">
        <v>3812</v>
      </c>
      <c r="AC12" s="6">
        <v>3841</v>
      </c>
      <c r="AD12" s="2" t="s">
        <v>161</v>
      </c>
      <c r="AE12" s="6">
        <v>3841</v>
      </c>
      <c r="AF12" s="6">
        <v>3907</v>
      </c>
      <c r="AG12" s="2" t="s">
        <v>161</v>
      </c>
      <c r="AH12" s="6">
        <v>3907</v>
      </c>
      <c r="AI12" s="6">
        <v>3812</v>
      </c>
      <c r="AJ12" s="6">
        <v>46403</v>
      </c>
      <c r="AK12" s="2"/>
      <c r="AL12" s="2"/>
      <c r="AM12" s="2">
        <v>8</v>
      </c>
      <c r="AN12" s="2">
        <v>106</v>
      </c>
      <c r="AO12" s="2" t="s">
        <v>176</v>
      </c>
      <c r="AP12" s="2" t="s">
        <v>177</v>
      </c>
      <c r="AQ12" s="6">
        <v>4902</v>
      </c>
      <c r="AR12" s="2" t="s">
        <v>161</v>
      </c>
      <c r="AS12" s="6">
        <v>4902</v>
      </c>
      <c r="AT12" s="6">
        <v>4815</v>
      </c>
      <c r="AU12" s="2" t="s">
        <v>161</v>
      </c>
      <c r="AV12" s="6">
        <v>4815</v>
      </c>
      <c r="AW12" s="6">
        <v>4940</v>
      </c>
      <c r="AX12" s="2" t="s">
        <v>161</v>
      </c>
      <c r="AY12" s="6">
        <v>4940</v>
      </c>
      <c r="AZ12" s="6">
        <v>4814</v>
      </c>
      <c r="BA12" s="2" t="s">
        <v>161</v>
      </c>
      <c r="BB12" s="6">
        <v>4814</v>
      </c>
      <c r="BC12" s="6">
        <v>4814</v>
      </c>
      <c r="BD12" s="6">
        <v>38760</v>
      </c>
      <c r="BE12" s="2"/>
      <c r="BF12" s="2"/>
      <c r="BG12" s="2">
        <v>8</v>
      </c>
      <c r="BH12" s="2">
        <v>134</v>
      </c>
      <c r="BI12" s="2" t="s">
        <v>182</v>
      </c>
      <c r="BJ12" s="2" t="s">
        <v>183</v>
      </c>
      <c r="BK12" s="6">
        <v>67992</v>
      </c>
      <c r="BL12" s="2">
        <v>1</v>
      </c>
      <c r="BM12" s="2">
        <v>0</v>
      </c>
      <c r="BN12" s="6">
        <v>69992</v>
      </c>
      <c r="BO12" s="6">
        <v>64313</v>
      </c>
      <c r="BP12" s="2">
        <v>0</v>
      </c>
      <c r="BQ12" s="2">
        <v>0</v>
      </c>
      <c r="BR12" s="6">
        <v>64313</v>
      </c>
      <c r="BS12" s="2" t="s">
        <v>41</v>
      </c>
      <c r="BT12" s="2">
        <v>0</v>
      </c>
      <c r="BU12" s="2">
        <v>0</v>
      </c>
      <c r="BV12" s="2" t="s">
        <v>41</v>
      </c>
      <c r="BW12" s="2" t="s">
        <v>41</v>
      </c>
      <c r="BX12" s="2">
        <v>0</v>
      </c>
      <c r="BY12" s="2">
        <v>0</v>
      </c>
      <c r="BZ12" s="2" t="s">
        <v>41</v>
      </c>
      <c r="CA12" s="6">
        <v>64313</v>
      </c>
      <c r="CB12" s="6">
        <v>16098</v>
      </c>
      <c r="CC12" s="2"/>
      <c r="CD12" s="2"/>
      <c r="CE12" s="2">
        <v>8</v>
      </c>
      <c r="CF12" s="2">
        <v>197</v>
      </c>
      <c r="CG12" s="2" t="s">
        <v>184</v>
      </c>
      <c r="CH12" s="2" t="s">
        <v>185</v>
      </c>
      <c r="CI12" s="6">
        <v>2077815</v>
      </c>
      <c r="CJ12" s="2">
        <v>26</v>
      </c>
      <c r="CK12" s="2">
        <v>0</v>
      </c>
      <c r="CL12" s="2">
        <v>21</v>
      </c>
      <c r="CM12" s="2">
        <v>1</v>
      </c>
      <c r="CN12" s="6">
        <v>2139815</v>
      </c>
      <c r="CO12" s="6">
        <v>2129815</v>
      </c>
      <c r="CP12" s="2" t="s">
        <v>186</v>
      </c>
      <c r="CQ12" s="6">
        <v>3898</v>
      </c>
      <c r="CR12" s="6">
        <v>17434</v>
      </c>
      <c r="CS12" s="2">
        <v>0</v>
      </c>
      <c r="CT12" s="2" t="s">
        <v>186</v>
      </c>
    </row>
    <row r="13" spans="1:98" x14ac:dyDescent="0.2">
      <c r="A13" s="2"/>
      <c r="B13" s="12">
        <v>9</v>
      </c>
      <c r="C13" s="12">
        <v>106</v>
      </c>
      <c r="D13" s="12" t="s">
        <v>176</v>
      </c>
      <c r="E13" s="12" t="s">
        <v>177</v>
      </c>
      <c r="F13" s="16">
        <v>43277</v>
      </c>
      <c r="G13" s="16">
        <v>37564</v>
      </c>
      <c r="H13" s="16">
        <v>121479</v>
      </c>
      <c r="I13" s="16">
        <v>15423</v>
      </c>
      <c r="J13" s="16">
        <v>38760</v>
      </c>
      <c r="K13" s="16">
        <v>15260</v>
      </c>
      <c r="L13" s="16">
        <v>33790</v>
      </c>
      <c r="M13" s="16">
        <v>37547</v>
      </c>
      <c r="N13" s="12">
        <v>0</v>
      </c>
      <c r="O13" s="16">
        <v>343100</v>
      </c>
      <c r="P13" s="2"/>
      <c r="Q13" s="2"/>
      <c r="R13" s="2"/>
      <c r="S13" s="2">
        <v>9</v>
      </c>
      <c r="T13" s="2">
        <v>172</v>
      </c>
      <c r="U13" s="2" t="s">
        <v>187</v>
      </c>
      <c r="V13" s="2" t="s">
        <v>71</v>
      </c>
      <c r="W13" s="6">
        <v>4120</v>
      </c>
      <c r="X13" s="2" t="s">
        <v>161</v>
      </c>
      <c r="Y13" s="6">
        <v>4120</v>
      </c>
      <c r="Z13" s="6">
        <v>3851</v>
      </c>
      <c r="AA13" s="2" t="s">
        <v>161</v>
      </c>
      <c r="AB13" s="6">
        <v>3851</v>
      </c>
      <c r="AC13" s="2" t="s">
        <v>41</v>
      </c>
      <c r="AD13" s="2" t="s">
        <v>161</v>
      </c>
      <c r="AE13" s="2" t="s">
        <v>41</v>
      </c>
      <c r="AF13" s="2" t="s">
        <v>41</v>
      </c>
      <c r="AG13" s="2" t="s">
        <v>161</v>
      </c>
      <c r="AH13" s="2" t="s">
        <v>41</v>
      </c>
      <c r="AI13" s="6">
        <v>3851</v>
      </c>
      <c r="AJ13" s="6">
        <v>44528</v>
      </c>
      <c r="AK13" s="2"/>
      <c r="AL13" s="2"/>
      <c r="AM13" s="2">
        <v>9</v>
      </c>
      <c r="AN13" s="2">
        <v>126</v>
      </c>
      <c r="AO13" s="2" t="s">
        <v>170</v>
      </c>
      <c r="AP13" s="2" t="s">
        <v>171</v>
      </c>
      <c r="AQ13" s="6">
        <v>5152</v>
      </c>
      <c r="AR13" s="2" t="s">
        <v>161</v>
      </c>
      <c r="AS13" s="6">
        <v>5152</v>
      </c>
      <c r="AT13" s="6">
        <v>4865</v>
      </c>
      <c r="AU13" s="2" t="s">
        <v>161</v>
      </c>
      <c r="AV13" s="6">
        <v>4865</v>
      </c>
      <c r="AW13" s="6">
        <v>4850</v>
      </c>
      <c r="AX13" s="2" t="s">
        <v>161</v>
      </c>
      <c r="AY13" s="6">
        <v>4850</v>
      </c>
      <c r="AZ13" s="6">
        <v>4879</v>
      </c>
      <c r="BA13" s="2" t="s">
        <v>161</v>
      </c>
      <c r="BB13" s="6">
        <v>4879</v>
      </c>
      <c r="BC13" s="6">
        <v>4850</v>
      </c>
      <c r="BD13" s="6">
        <v>36369</v>
      </c>
      <c r="BE13" s="2"/>
      <c r="BF13" s="2"/>
      <c r="BG13" s="2">
        <v>9</v>
      </c>
      <c r="BH13" s="2">
        <v>106</v>
      </c>
      <c r="BI13" s="2" t="s">
        <v>176</v>
      </c>
      <c r="BJ13" s="2" t="s">
        <v>177</v>
      </c>
      <c r="BK13" s="6">
        <v>80510</v>
      </c>
      <c r="BL13" s="2">
        <v>0</v>
      </c>
      <c r="BM13" s="2">
        <v>0</v>
      </c>
      <c r="BN13" s="6">
        <v>80510</v>
      </c>
      <c r="BO13" s="6">
        <v>64451</v>
      </c>
      <c r="BP13" s="2">
        <v>0</v>
      </c>
      <c r="BQ13" s="2">
        <v>0</v>
      </c>
      <c r="BR13" s="6">
        <v>64451</v>
      </c>
      <c r="BS13" s="6">
        <v>66825</v>
      </c>
      <c r="BT13" s="2">
        <v>0</v>
      </c>
      <c r="BU13" s="2">
        <v>0</v>
      </c>
      <c r="BV13" s="6">
        <v>66825</v>
      </c>
      <c r="BW13" s="6">
        <v>64076</v>
      </c>
      <c r="BX13" s="2">
        <v>1</v>
      </c>
      <c r="BY13" s="2">
        <v>0</v>
      </c>
      <c r="BZ13" s="6">
        <v>66076</v>
      </c>
      <c r="CA13" s="6">
        <v>64451</v>
      </c>
      <c r="CB13" s="6">
        <v>15260</v>
      </c>
      <c r="CC13" s="2"/>
      <c r="CD13" s="2"/>
      <c r="CE13" s="2">
        <v>8</v>
      </c>
      <c r="CF13" s="2">
        <v>135</v>
      </c>
      <c r="CG13" s="2" t="s">
        <v>188</v>
      </c>
      <c r="CH13" s="2" t="s">
        <v>189</v>
      </c>
      <c r="CI13" s="6">
        <v>2003262</v>
      </c>
      <c r="CJ13" s="2">
        <v>26</v>
      </c>
      <c r="CK13" s="2">
        <v>131</v>
      </c>
      <c r="CL13" s="2">
        <v>1</v>
      </c>
      <c r="CM13" s="2">
        <v>0</v>
      </c>
      <c r="CN13" s="6">
        <v>2136262</v>
      </c>
      <c r="CO13" s="6">
        <v>2136262</v>
      </c>
      <c r="CP13" s="2" t="s">
        <v>186</v>
      </c>
      <c r="CQ13" s="6">
        <v>4324</v>
      </c>
      <c r="CR13" s="6">
        <v>19337</v>
      </c>
      <c r="CS13" s="2">
        <v>0</v>
      </c>
      <c r="CT13" s="2" t="s">
        <v>186</v>
      </c>
    </row>
    <row r="14" spans="1:98" x14ac:dyDescent="0.2">
      <c r="A14" s="2"/>
      <c r="B14" s="12">
        <v>10</v>
      </c>
      <c r="C14" s="12">
        <v>121</v>
      </c>
      <c r="D14" s="12" t="s">
        <v>174</v>
      </c>
      <c r="E14" s="12" t="s">
        <v>175</v>
      </c>
      <c r="F14" s="16">
        <v>65044</v>
      </c>
      <c r="G14" s="16">
        <v>57791</v>
      </c>
      <c r="H14" s="16">
        <v>121479</v>
      </c>
      <c r="I14" s="16">
        <v>20322</v>
      </c>
      <c r="J14" s="16">
        <v>9967</v>
      </c>
      <c r="K14" s="12">
        <v>5</v>
      </c>
      <c r="L14" s="16">
        <v>59177</v>
      </c>
      <c r="M14" s="16">
        <v>26685</v>
      </c>
      <c r="N14" s="12">
        <v>30</v>
      </c>
      <c r="O14" s="16">
        <v>335465</v>
      </c>
      <c r="P14" s="2"/>
      <c r="Q14" s="2"/>
      <c r="R14" s="2"/>
      <c r="S14" s="2">
        <v>10</v>
      </c>
      <c r="T14" s="2">
        <v>123</v>
      </c>
      <c r="U14" s="2" t="s">
        <v>190</v>
      </c>
      <c r="V14" s="2" t="s">
        <v>191</v>
      </c>
      <c r="W14" s="6">
        <v>4543</v>
      </c>
      <c r="X14" s="2" t="s">
        <v>161</v>
      </c>
      <c r="Y14" s="6">
        <v>4543</v>
      </c>
      <c r="Z14" s="6">
        <v>4150</v>
      </c>
      <c r="AA14" s="2" t="s">
        <v>161</v>
      </c>
      <c r="AB14" s="6">
        <v>4150</v>
      </c>
      <c r="AC14" s="2" t="s">
        <v>41</v>
      </c>
      <c r="AD14" s="2" t="s">
        <v>161</v>
      </c>
      <c r="AE14" s="2" t="s">
        <v>41</v>
      </c>
      <c r="AF14" s="2" t="s">
        <v>41</v>
      </c>
      <c r="AG14" s="2" t="s">
        <v>161</v>
      </c>
      <c r="AH14" s="2" t="s">
        <v>41</v>
      </c>
      <c r="AI14" s="6">
        <v>4150</v>
      </c>
      <c r="AJ14" s="6">
        <v>31323</v>
      </c>
      <c r="AK14" s="2"/>
      <c r="AL14" s="2"/>
      <c r="AM14" s="2">
        <v>10</v>
      </c>
      <c r="AN14" s="2">
        <v>102</v>
      </c>
      <c r="AO14" s="2" t="s">
        <v>192</v>
      </c>
      <c r="AP14" s="2" t="s">
        <v>193</v>
      </c>
      <c r="AQ14" s="6">
        <v>5506</v>
      </c>
      <c r="AR14" s="2" t="s">
        <v>161</v>
      </c>
      <c r="AS14" s="6">
        <v>5506</v>
      </c>
      <c r="AT14" s="6">
        <v>5165</v>
      </c>
      <c r="AU14" s="2" t="s">
        <v>161</v>
      </c>
      <c r="AV14" s="6">
        <v>5165</v>
      </c>
      <c r="AW14" s="6">
        <v>5274</v>
      </c>
      <c r="AX14" s="2" t="s">
        <v>161</v>
      </c>
      <c r="AY14" s="6">
        <v>5274</v>
      </c>
      <c r="AZ14" s="6">
        <v>5124</v>
      </c>
      <c r="BA14" s="2" t="s">
        <v>161</v>
      </c>
      <c r="BB14" s="6">
        <v>5124</v>
      </c>
      <c r="BC14" s="6">
        <v>5124</v>
      </c>
      <c r="BD14" s="6">
        <v>19789</v>
      </c>
      <c r="BE14" s="2"/>
      <c r="BF14" s="2"/>
      <c r="BG14" s="2">
        <v>10</v>
      </c>
      <c r="BH14" s="2">
        <v>126</v>
      </c>
      <c r="BI14" s="2" t="s">
        <v>170</v>
      </c>
      <c r="BJ14" s="2" t="s">
        <v>171</v>
      </c>
      <c r="BK14" s="6">
        <v>69149</v>
      </c>
      <c r="BL14" s="2">
        <v>0</v>
      </c>
      <c r="BM14" s="2">
        <v>0</v>
      </c>
      <c r="BN14" s="6">
        <v>69149</v>
      </c>
      <c r="BO14" s="6">
        <v>64746</v>
      </c>
      <c r="BP14" s="2">
        <v>0</v>
      </c>
      <c r="BQ14" s="2">
        <v>0</v>
      </c>
      <c r="BR14" s="6">
        <v>64746</v>
      </c>
      <c r="BS14" s="6">
        <v>71229</v>
      </c>
      <c r="BT14" s="2">
        <v>0</v>
      </c>
      <c r="BU14" s="2">
        <v>0</v>
      </c>
      <c r="BV14" s="6">
        <v>71229</v>
      </c>
      <c r="BW14" s="6">
        <v>69397</v>
      </c>
      <c r="BX14" s="2">
        <v>0</v>
      </c>
      <c r="BY14" s="2">
        <v>0</v>
      </c>
      <c r="BZ14" s="6">
        <v>69397</v>
      </c>
      <c r="CA14" s="6">
        <v>64746</v>
      </c>
      <c r="CB14" s="6">
        <v>13482</v>
      </c>
      <c r="CC14" s="2"/>
      <c r="CD14" s="2"/>
      <c r="CE14" s="2">
        <v>8</v>
      </c>
      <c r="CF14" s="2">
        <v>172</v>
      </c>
      <c r="CG14" s="2" t="s">
        <v>187</v>
      </c>
      <c r="CH14" s="2" t="s">
        <v>194</v>
      </c>
      <c r="CI14" s="6">
        <v>1969121</v>
      </c>
      <c r="CJ14" s="2">
        <v>26</v>
      </c>
      <c r="CK14" s="2">
        <v>120</v>
      </c>
      <c r="CL14" s="2">
        <v>4</v>
      </c>
      <c r="CM14" s="2">
        <v>1</v>
      </c>
      <c r="CN14" s="6">
        <v>2117121</v>
      </c>
      <c r="CO14" s="6">
        <v>2107121</v>
      </c>
      <c r="CP14" s="2" t="s">
        <v>186</v>
      </c>
      <c r="CQ14" s="6">
        <v>5011</v>
      </c>
      <c r="CR14" s="6">
        <v>22412</v>
      </c>
      <c r="CS14" s="2">
        <v>0</v>
      </c>
      <c r="CT14" s="2" t="s">
        <v>186</v>
      </c>
    </row>
    <row r="15" spans="1:98" x14ac:dyDescent="0.2">
      <c r="A15" s="2"/>
      <c r="B15" s="12">
        <v>11</v>
      </c>
      <c r="C15" s="12">
        <v>133</v>
      </c>
      <c r="D15" s="12" t="s">
        <v>180</v>
      </c>
      <c r="E15" s="12" t="s">
        <v>181</v>
      </c>
      <c r="F15" s="16">
        <v>82483</v>
      </c>
      <c r="G15" s="16">
        <v>70587</v>
      </c>
      <c r="H15" s="16">
        <v>120423</v>
      </c>
      <c r="I15" s="16">
        <v>46403</v>
      </c>
      <c r="J15" s="16">
        <v>8922</v>
      </c>
      <c r="K15" s="12">
        <v>5</v>
      </c>
      <c r="L15" s="12">
        <v>0</v>
      </c>
      <c r="M15" s="12">
        <v>0</v>
      </c>
      <c r="N15" s="12">
        <v>0</v>
      </c>
      <c r="O15" s="16">
        <v>333818</v>
      </c>
      <c r="P15" s="2"/>
      <c r="Q15" s="2"/>
      <c r="R15" s="2"/>
      <c r="S15" s="2">
        <v>11</v>
      </c>
      <c r="T15" s="2">
        <v>170</v>
      </c>
      <c r="U15" s="2" t="s">
        <v>162</v>
      </c>
      <c r="V15" s="2" t="s">
        <v>163</v>
      </c>
      <c r="W15" s="6">
        <v>6328</v>
      </c>
      <c r="X15" s="2" t="s">
        <v>161</v>
      </c>
      <c r="Y15" s="6">
        <v>6328</v>
      </c>
      <c r="Z15" s="6">
        <v>4252</v>
      </c>
      <c r="AA15" s="2" t="s">
        <v>161</v>
      </c>
      <c r="AB15" s="6">
        <v>4252</v>
      </c>
      <c r="AC15" s="6">
        <v>4529</v>
      </c>
      <c r="AD15" s="2" t="s">
        <v>161</v>
      </c>
      <c r="AE15" s="6">
        <v>4529</v>
      </c>
      <c r="AF15" s="6">
        <v>4530</v>
      </c>
      <c r="AG15" s="2" t="s">
        <v>161</v>
      </c>
      <c r="AH15" s="6">
        <v>4530</v>
      </c>
      <c r="AI15" s="6">
        <v>4252</v>
      </c>
      <c r="AJ15" s="6">
        <v>27243</v>
      </c>
      <c r="AK15" s="2"/>
      <c r="AL15" s="2"/>
      <c r="AM15" s="2">
        <v>11</v>
      </c>
      <c r="AN15" s="2">
        <v>172</v>
      </c>
      <c r="AO15" s="2" t="s">
        <v>187</v>
      </c>
      <c r="AP15" s="2" t="s">
        <v>71</v>
      </c>
      <c r="AQ15" s="6">
        <v>5147</v>
      </c>
      <c r="AR15" s="2" t="s">
        <v>161</v>
      </c>
      <c r="AS15" s="6">
        <v>5147</v>
      </c>
      <c r="AT15" s="6">
        <v>5216</v>
      </c>
      <c r="AU15" s="2" t="s">
        <v>161</v>
      </c>
      <c r="AV15" s="6">
        <v>5216</v>
      </c>
      <c r="AW15" s="2" t="s">
        <v>161</v>
      </c>
      <c r="AX15" s="2" t="s">
        <v>161</v>
      </c>
      <c r="AY15" s="2" t="s">
        <v>41</v>
      </c>
      <c r="AZ15" s="2" t="s">
        <v>161</v>
      </c>
      <c r="BA15" s="2" t="s">
        <v>161</v>
      </c>
      <c r="BB15" s="2" t="s">
        <v>41</v>
      </c>
      <c r="BC15" s="6">
        <v>5147</v>
      </c>
      <c r="BD15" s="6">
        <v>18517</v>
      </c>
      <c r="BE15" s="2"/>
      <c r="BF15" s="2"/>
      <c r="BG15" s="2">
        <v>11</v>
      </c>
      <c r="BH15" s="2">
        <v>102</v>
      </c>
      <c r="BI15" s="2" t="s">
        <v>192</v>
      </c>
      <c r="BJ15" s="2" t="s">
        <v>193</v>
      </c>
      <c r="BK15" s="6">
        <v>95632</v>
      </c>
      <c r="BL15" s="2">
        <v>0</v>
      </c>
      <c r="BM15" s="2">
        <v>1</v>
      </c>
      <c r="BN15" s="6">
        <v>105632</v>
      </c>
      <c r="BO15" s="6">
        <v>89145</v>
      </c>
      <c r="BP15" s="2">
        <v>0</v>
      </c>
      <c r="BQ15" s="2">
        <v>1</v>
      </c>
      <c r="BR15" s="6">
        <v>99145</v>
      </c>
      <c r="BS15" s="6">
        <v>65439</v>
      </c>
      <c r="BT15" s="2">
        <v>0</v>
      </c>
      <c r="BU15" s="2">
        <v>0</v>
      </c>
      <c r="BV15" s="6">
        <v>65439</v>
      </c>
      <c r="BW15" s="6">
        <v>84015</v>
      </c>
      <c r="BX15" s="2">
        <v>1</v>
      </c>
      <c r="BY15" s="2">
        <v>0</v>
      </c>
      <c r="BZ15" s="6">
        <v>86015</v>
      </c>
      <c r="CA15" s="6">
        <v>65439</v>
      </c>
      <c r="CB15" s="6">
        <v>9368</v>
      </c>
      <c r="CC15" s="2"/>
      <c r="CD15" s="2"/>
      <c r="CE15" s="2">
        <v>8</v>
      </c>
      <c r="CF15" s="2">
        <v>102</v>
      </c>
      <c r="CG15" s="2" t="s">
        <v>192</v>
      </c>
      <c r="CH15" s="2" t="s">
        <v>193</v>
      </c>
      <c r="CI15" s="6">
        <v>1921377</v>
      </c>
      <c r="CJ15" s="2">
        <v>26</v>
      </c>
      <c r="CK15" s="2">
        <v>15</v>
      </c>
      <c r="CL15" s="2">
        <v>38</v>
      </c>
      <c r="CM15" s="2">
        <v>0</v>
      </c>
      <c r="CN15" s="6">
        <v>2012377</v>
      </c>
      <c r="CO15" s="6">
        <v>2012377</v>
      </c>
      <c r="CP15" s="2" t="s">
        <v>186</v>
      </c>
      <c r="CQ15" s="6">
        <v>5630</v>
      </c>
      <c r="CR15" s="6">
        <v>25180</v>
      </c>
      <c r="CS15" s="2">
        <v>0</v>
      </c>
      <c r="CT15" s="2" t="s">
        <v>186</v>
      </c>
    </row>
    <row r="16" spans="1:98" x14ac:dyDescent="0.2">
      <c r="A16" s="2"/>
      <c r="B16" s="12">
        <v>12</v>
      </c>
      <c r="C16" s="12">
        <v>140</v>
      </c>
      <c r="D16" s="12" t="s">
        <v>178</v>
      </c>
      <c r="E16" s="12" t="s">
        <v>179</v>
      </c>
      <c r="F16" s="16">
        <v>78180</v>
      </c>
      <c r="G16" s="16">
        <v>70587</v>
      </c>
      <c r="H16" s="16">
        <v>104577</v>
      </c>
      <c r="I16" s="16">
        <v>23915</v>
      </c>
      <c r="J16" s="16">
        <v>11278</v>
      </c>
      <c r="K16" s="12">
        <v>5</v>
      </c>
      <c r="L16" s="16">
        <v>37875</v>
      </c>
      <c r="M16" s="12">
        <v>0</v>
      </c>
      <c r="N16" s="12">
        <v>0</v>
      </c>
      <c r="O16" s="16">
        <v>331413</v>
      </c>
      <c r="P16" s="2"/>
      <c r="Q16" s="2"/>
      <c r="R16" s="2"/>
      <c r="S16" s="2">
        <v>12</v>
      </c>
      <c r="T16" s="2">
        <v>140</v>
      </c>
      <c r="U16" s="2" t="s">
        <v>178</v>
      </c>
      <c r="V16" s="2" t="s">
        <v>179</v>
      </c>
      <c r="W16" s="6">
        <v>4350</v>
      </c>
      <c r="X16" s="2" t="s">
        <v>161</v>
      </c>
      <c r="Y16" s="6">
        <v>4350</v>
      </c>
      <c r="Z16" s="6">
        <v>4339</v>
      </c>
      <c r="AA16" s="2" t="s">
        <v>161</v>
      </c>
      <c r="AB16" s="6">
        <v>4339</v>
      </c>
      <c r="AC16" s="2" t="s">
        <v>41</v>
      </c>
      <c r="AD16" s="2" t="s">
        <v>161</v>
      </c>
      <c r="AE16" s="2" t="s">
        <v>41</v>
      </c>
      <c r="AF16" s="2" t="s">
        <v>41</v>
      </c>
      <c r="AG16" s="2" t="s">
        <v>161</v>
      </c>
      <c r="AH16" s="2" t="s">
        <v>41</v>
      </c>
      <c r="AI16" s="6">
        <v>4339</v>
      </c>
      <c r="AJ16" s="6">
        <v>23915</v>
      </c>
      <c r="AK16" s="2"/>
      <c r="AL16" s="2"/>
      <c r="AM16" s="2">
        <v>12</v>
      </c>
      <c r="AN16" s="2">
        <v>140</v>
      </c>
      <c r="AO16" s="2" t="s">
        <v>178</v>
      </c>
      <c r="AP16" s="2" t="s">
        <v>179</v>
      </c>
      <c r="AQ16" s="6">
        <v>6110</v>
      </c>
      <c r="AR16" s="2">
        <v>1</v>
      </c>
      <c r="AS16" s="6">
        <v>6310</v>
      </c>
      <c r="AT16" s="6">
        <v>5608</v>
      </c>
      <c r="AU16" s="2" t="s">
        <v>161</v>
      </c>
      <c r="AV16" s="6">
        <v>5608</v>
      </c>
      <c r="AW16" s="6">
        <v>5500</v>
      </c>
      <c r="AX16" s="2" t="s">
        <v>161</v>
      </c>
      <c r="AY16" s="6">
        <v>5500</v>
      </c>
      <c r="AZ16" s="6">
        <v>5284</v>
      </c>
      <c r="BA16" s="2" t="s">
        <v>161</v>
      </c>
      <c r="BB16" s="6">
        <v>5284</v>
      </c>
      <c r="BC16" s="6">
        <v>5284</v>
      </c>
      <c r="BD16" s="6">
        <v>11278</v>
      </c>
      <c r="BE16" s="2"/>
      <c r="BF16" s="2"/>
      <c r="BG16" s="2">
        <v>12</v>
      </c>
      <c r="BH16" s="2">
        <v>123</v>
      </c>
      <c r="BI16" s="2" t="s">
        <v>190</v>
      </c>
      <c r="BJ16" s="2" t="s">
        <v>191</v>
      </c>
      <c r="BK16" s="6">
        <v>67374</v>
      </c>
      <c r="BL16" s="2">
        <v>1</v>
      </c>
      <c r="BM16" s="2">
        <v>0</v>
      </c>
      <c r="BN16" s="6">
        <v>69374</v>
      </c>
      <c r="BO16" s="6">
        <v>63110</v>
      </c>
      <c r="BP16" s="2">
        <v>2</v>
      </c>
      <c r="BQ16" s="2">
        <v>0</v>
      </c>
      <c r="BR16" s="6">
        <v>67110</v>
      </c>
      <c r="BS16" s="6">
        <v>77092</v>
      </c>
      <c r="BT16" s="2">
        <v>1</v>
      </c>
      <c r="BU16" s="2">
        <v>1</v>
      </c>
      <c r="BV16" s="6">
        <v>89092</v>
      </c>
      <c r="BW16" s="6">
        <v>71809</v>
      </c>
      <c r="BX16" s="2">
        <v>5</v>
      </c>
      <c r="BY16" s="2">
        <v>2</v>
      </c>
      <c r="BZ16" s="6">
        <v>101809</v>
      </c>
      <c r="CA16" s="6">
        <v>67110</v>
      </c>
      <c r="CB16" s="2">
        <v>5</v>
      </c>
      <c r="CC16" s="2"/>
      <c r="CD16" s="2"/>
      <c r="CE16" s="2">
        <v>12</v>
      </c>
      <c r="CF16" s="2">
        <v>186</v>
      </c>
      <c r="CG16" s="2" t="s">
        <v>195</v>
      </c>
      <c r="CH16" s="2" t="s">
        <v>196</v>
      </c>
      <c r="CI16" s="6">
        <v>2004490</v>
      </c>
      <c r="CJ16" s="2">
        <v>25</v>
      </c>
      <c r="CK16" s="2">
        <v>0</v>
      </c>
      <c r="CL16" s="2">
        <v>3</v>
      </c>
      <c r="CM16" s="2">
        <v>0</v>
      </c>
      <c r="CN16" s="6">
        <v>2010490</v>
      </c>
      <c r="CO16" s="2" t="s">
        <v>92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2"/>
      <c r="B17" s="12">
        <v>13</v>
      </c>
      <c r="C17" s="12">
        <v>122</v>
      </c>
      <c r="D17" s="12" t="s">
        <v>197</v>
      </c>
      <c r="E17" s="12" t="s">
        <v>198</v>
      </c>
      <c r="F17" s="16">
        <v>89571</v>
      </c>
      <c r="G17" s="16">
        <v>69349</v>
      </c>
      <c r="H17" s="16">
        <v>139437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6">
        <v>298356</v>
      </c>
      <c r="P17" s="2"/>
      <c r="Q17" s="2"/>
      <c r="R17" s="2"/>
      <c r="S17" s="2">
        <v>13</v>
      </c>
      <c r="T17" s="2">
        <v>102</v>
      </c>
      <c r="U17" s="2" t="s">
        <v>192</v>
      </c>
      <c r="V17" s="2" t="s">
        <v>193</v>
      </c>
      <c r="W17" s="6">
        <v>4568</v>
      </c>
      <c r="X17" s="2" t="s">
        <v>161</v>
      </c>
      <c r="Y17" s="6">
        <v>4568</v>
      </c>
      <c r="Z17" s="6">
        <v>4356</v>
      </c>
      <c r="AA17" s="2" t="s">
        <v>161</v>
      </c>
      <c r="AB17" s="6">
        <v>4356</v>
      </c>
      <c r="AC17" s="6">
        <v>4345</v>
      </c>
      <c r="AD17" s="2" t="s">
        <v>161</v>
      </c>
      <c r="AE17" s="6">
        <v>4345</v>
      </c>
      <c r="AF17" s="2" t="s">
        <v>41</v>
      </c>
      <c r="AG17" s="2" t="s">
        <v>161</v>
      </c>
      <c r="AH17" s="2" t="s">
        <v>41</v>
      </c>
      <c r="AI17" s="6">
        <v>4345</v>
      </c>
      <c r="AJ17" s="6">
        <v>23690</v>
      </c>
      <c r="AK17" s="2"/>
      <c r="AL17" s="2"/>
      <c r="AM17" s="2">
        <v>13</v>
      </c>
      <c r="AN17" s="2">
        <v>121</v>
      </c>
      <c r="AO17" s="2" t="s">
        <v>174</v>
      </c>
      <c r="AP17" s="2" t="s">
        <v>175</v>
      </c>
      <c r="AQ17" s="6">
        <v>6512</v>
      </c>
      <c r="AR17" s="2" t="s">
        <v>161</v>
      </c>
      <c r="AS17" s="6">
        <v>6512</v>
      </c>
      <c r="AT17" s="6">
        <v>5861</v>
      </c>
      <c r="AU17" s="2" t="s">
        <v>161</v>
      </c>
      <c r="AV17" s="6">
        <v>5861</v>
      </c>
      <c r="AW17" s="6">
        <v>6043</v>
      </c>
      <c r="AX17" s="2" t="s">
        <v>161</v>
      </c>
      <c r="AY17" s="6">
        <v>6043</v>
      </c>
      <c r="AZ17" s="6">
        <v>5310</v>
      </c>
      <c r="BA17" s="2" t="s">
        <v>161</v>
      </c>
      <c r="BB17" s="6">
        <v>5310</v>
      </c>
      <c r="BC17" s="6">
        <v>5310</v>
      </c>
      <c r="BD17" s="6">
        <v>9967</v>
      </c>
      <c r="BE17" s="2"/>
      <c r="BF17" s="2"/>
      <c r="BG17" s="2">
        <v>12</v>
      </c>
      <c r="BH17" s="2">
        <v>186</v>
      </c>
      <c r="BI17" s="2" t="s">
        <v>195</v>
      </c>
      <c r="BJ17" s="2" t="s">
        <v>196</v>
      </c>
      <c r="BK17" s="6">
        <v>70650</v>
      </c>
      <c r="BL17" s="2">
        <v>2</v>
      </c>
      <c r="BM17" s="2">
        <v>0</v>
      </c>
      <c r="BN17" s="6">
        <v>74650</v>
      </c>
      <c r="BO17" s="6">
        <v>84597</v>
      </c>
      <c r="BP17" s="2">
        <v>0</v>
      </c>
      <c r="BQ17" s="2">
        <v>0</v>
      </c>
      <c r="BR17" s="6">
        <v>84597</v>
      </c>
      <c r="BS17" s="6">
        <v>71623</v>
      </c>
      <c r="BT17" s="2">
        <v>0</v>
      </c>
      <c r="BU17" s="2">
        <v>0</v>
      </c>
      <c r="BV17" s="6">
        <v>71623</v>
      </c>
      <c r="BW17" s="6">
        <v>66798</v>
      </c>
      <c r="BX17" s="2">
        <v>1</v>
      </c>
      <c r="BY17" s="2">
        <v>0</v>
      </c>
      <c r="BZ17" s="6">
        <v>68798</v>
      </c>
      <c r="CA17" s="6">
        <v>68798</v>
      </c>
      <c r="CB17" s="2">
        <v>5</v>
      </c>
      <c r="CC17" s="2"/>
      <c r="CD17" s="2"/>
      <c r="CE17" s="2">
        <v>12</v>
      </c>
      <c r="CF17" s="2">
        <v>123</v>
      </c>
      <c r="CG17" s="2" t="s">
        <v>190</v>
      </c>
      <c r="CH17" s="2" t="s">
        <v>191</v>
      </c>
      <c r="CI17" s="6">
        <v>1973732</v>
      </c>
      <c r="CJ17" s="2">
        <v>24</v>
      </c>
      <c r="CK17" s="2">
        <v>0</v>
      </c>
      <c r="CL17" s="2">
        <v>60</v>
      </c>
      <c r="CM17" s="2">
        <v>9</v>
      </c>
      <c r="CN17" s="6">
        <v>2273732</v>
      </c>
      <c r="CO17" s="2" t="s">
        <v>92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2"/>
      <c r="B18" s="12">
        <v>14</v>
      </c>
      <c r="C18" s="12">
        <v>135</v>
      </c>
      <c r="D18" s="12" t="s">
        <v>188</v>
      </c>
      <c r="E18" s="12" t="s">
        <v>189</v>
      </c>
      <c r="F18" s="16">
        <v>73813</v>
      </c>
      <c r="G18" s="16">
        <v>67698</v>
      </c>
      <c r="H18" s="16">
        <v>98239</v>
      </c>
      <c r="I18" s="16">
        <v>3750</v>
      </c>
      <c r="J18" s="16">
        <v>7014</v>
      </c>
      <c r="K18" s="12">
        <v>5</v>
      </c>
      <c r="L18" s="12" t="s">
        <v>186</v>
      </c>
      <c r="M18" s="12">
        <v>0</v>
      </c>
      <c r="N18" s="12">
        <v>0</v>
      </c>
      <c r="O18" s="16">
        <v>288014</v>
      </c>
      <c r="P18" s="2"/>
      <c r="Q18" s="2"/>
      <c r="R18" s="2"/>
      <c r="S18" s="2">
        <v>14</v>
      </c>
      <c r="T18" s="2">
        <v>121</v>
      </c>
      <c r="U18" s="2" t="s">
        <v>174</v>
      </c>
      <c r="V18" s="2" t="s">
        <v>175</v>
      </c>
      <c r="W18" s="6">
        <v>4522</v>
      </c>
      <c r="X18" s="2" t="s">
        <v>161</v>
      </c>
      <c r="Y18" s="6">
        <v>4522</v>
      </c>
      <c r="Z18" s="6">
        <v>4466</v>
      </c>
      <c r="AA18" s="2" t="s">
        <v>161</v>
      </c>
      <c r="AB18" s="6">
        <v>4466</v>
      </c>
      <c r="AC18" s="6">
        <v>4437</v>
      </c>
      <c r="AD18" s="2" t="s">
        <v>161</v>
      </c>
      <c r="AE18" s="6">
        <v>4437</v>
      </c>
      <c r="AF18" s="6">
        <v>4449</v>
      </c>
      <c r="AG18" s="2" t="s">
        <v>161</v>
      </c>
      <c r="AH18" s="6">
        <v>4449</v>
      </c>
      <c r="AI18" s="6">
        <v>4437</v>
      </c>
      <c r="AJ18" s="6">
        <v>20322</v>
      </c>
      <c r="AK18" s="2"/>
      <c r="AL18" s="2"/>
      <c r="AM18" s="2">
        <v>14</v>
      </c>
      <c r="AN18" s="2">
        <v>133</v>
      </c>
      <c r="AO18" s="2" t="s">
        <v>180</v>
      </c>
      <c r="AP18" s="2" t="s">
        <v>181</v>
      </c>
      <c r="AQ18" s="6">
        <v>5849</v>
      </c>
      <c r="AR18" s="2" t="s">
        <v>161</v>
      </c>
      <c r="AS18" s="6">
        <v>5849</v>
      </c>
      <c r="AT18" s="6">
        <v>5344</v>
      </c>
      <c r="AU18" s="2" t="s">
        <v>161</v>
      </c>
      <c r="AV18" s="6">
        <v>5344</v>
      </c>
      <c r="AW18" s="6">
        <v>5331</v>
      </c>
      <c r="AX18" s="2" t="s">
        <v>161</v>
      </c>
      <c r="AY18" s="6">
        <v>5331</v>
      </c>
      <c r="AZ18" s="2" t="s">
        <v>161</v>
      </c>
      <c r="BA18" s="2" t="s">
        <v>161</v>
      </c>
      <c r="BB18" s="2" t="s">
        <v>41</v>
      </c>
      <c r="BC18" s="6">
        <v>5331</v>
      </c>
      <c r="BD18" s="6">
        <v>8922</v>
      </c>
      <c r="BE18" s="2"/>
      <c r="BF18" s="2"/>
      <c r="BG18" s="2">
        <v>12</v>
      </c>
      <c r="BH18" s="2">
        <v>133</v>
      </c>
      <c r="BI18" s="2" t="s">
        <v>180</v>
      </c>
      <c r="BJ18" s="2" t="s">
        <v>181</v>
      </c>
      <c r="BK18" s="6">
        <v>66911</v>
      </c>
      <c r="BL18" s="2">
        <v>0</v>
      </c>
      <c r="BM18" s="2">
        <v>0</v>
      </c>
      <c r="BN18" s="6">
        <v>66911</v>
      </c>
      <c r="BO18" s="6">
        <v>68496</v>
      </c>
      <c r="BP18" s="2">
        <v>1</v>
      </c>
      <c r="BQ18" s="2">
        <v>0</v>
      </c>
      <c r="BR18" s="6">
        <v>70496</v>
      </c>
      <c r="BS18" s="6">
        <v>100048</v>
      </c>
      <c r="BT18" s="2">
        <v>0</v>
      </c>
      <c r="BU18" s="2">
        <v>0</v>
      </c>
      <c r="BV18" s="6">
        <v>100048</v>
      </c>
      <c r="BW18" s="6">
        <v>69055</v>
      </c>
      <c r="BX18" s="2">
        <v>1</v>
      </c>
      <c r="BY18" s="2">
        <v>0</v>
      </c>
      <c r="BZ18" s="6">
        <v>71055</v>
      </c>
      <c r="CA18" s="6">
        <v>66911</v>
      </c>
      <c r="CB18" s="2">
        <v>5</v>
      </c>
      <c r="CC18" s="2"/>
      <c r="CD18" s="2"/>
      <c r="CE18" s="2">
        <v>12</v>
      </c>
      <c r="CF18" s="2">
        <v>133</v>
      </c>
      <c r="CG18" s="2" t="s">
        <v>180</v>
      </c>
      <c r="CH18" s="2" t="s">
        <v>181</v>
      </c>
      <c r="CI18" s="6">
        <v>1911625</v>
      </c>
      <c r="CJ18" s="2">
        <v>22</v>
      </c>
      <c r="CK18" s="2">
        <v>24</v>
      </c>
      <c r="CL18" s="2">
        <v>19</v>
      </c>
      <c r="CM18" s="2">
        <v>8</v>
      </c>
      <c r="CN18" s="6">
        <v>2133625</v>
      </c>
      <c r="CO18" s="2" t="s">
        <v>92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2"/>
      <c r="B19" s="12">
        <v>15</v>
      </c>
      <c r="C19" s="12">
        <v>134</v>
      </c>
      <c r="D19" s="12" t="s">
        <v>182</v>
      </c>
      <c r="E19" s="12" t="s">
        <v>183</v>
      </c>
      <c r="F19" s="16">
        <v>72576</v>
      </c>
      <c r="G19" s="16">
        <v>62744</v>
      </c>
      <c r="H19" s="16">
        <v>120423</v>
      </c>
      <c r="I19" s="16">
        <v>3750</v>
      </c>
      <c r="J19" s="16">
        <v>5574</v>
      </c>
      <c r="K19" s="16">
        <v>16098</v>
      </c>
      <c r="L19" s="12">
        <v>0</v>
      </c>
      <c r="M19" s="12">
        <v>0</v>
      </c>
      <c r="N19" s="12">
        <v>0</v>
      </c>
      <c r="O19" s="16">
        <v>281165</v>
      </c>
      <c r="P19" s="2"/>
      <c r="Q19" s="2"/>
      <c r="R19" s="2"/>
      <c r="S19" s="2">
        <v>15</v>
      </c>
      <c r="T19" s="2">
        <v>106</v>
      </c>
      <c r="U19" s="2" t="s">
        <v>176</v>
      </c>
      <c r="V19" s="2" t="s">
        <v>177</v>
      </c>
      <c r="W19" s="6">
        <v>4578</v>
      </c>
      <c r="X19" s="2" t="s">
        <v>161</v>
      </c>
      <c r="Y19" s="6">
        <v>4578</v>
      </c>
      <c r="Z19" s="6">
        <v>4660</v>
      </c>
      <c r="AA19" s="2" t="s">
        <v>161</v>
      </c>
      <c r="AB19" s="6">
        <v>4660</v>
      </c>
      <c r="AC19" s="6">
        <v>4618</v>
      </c>
      <c r="AD19" s="2" t="s">
        <v>161</v>
      </c>
      <c r="AE19" s="6">
        <v>4618</v>
      </c>
      <c r="AF19" s="6">
        <v>4921</v>
      </c>
      <c r="AG19" s="2" t="s">
        <v>161</v>
      </c>
      <c r="AH19" s="6">
        <v>4921</v>
      </c>
      <c r="AI19" s="6">
        <v>4578</v>
      </c>
      <c r="AJ19" s="6">
        <v>15423</v>
      </c>
      <c r="AK19" s="2"/>
      <c r="AL19" s="2"/>
      <c r="AM19" s="2">
        <v>15</v>
      </c>
      <c r="AN19" s="2">
        <v>135</v>
      </c>
      <c r="AO19" s="2" t="s">
        <v>188</v>
      </c>
      <c r="AP19" s="2" t="s">
        <v>189</v>
      </c>
      <c r="AQ19" s="6">
        <v>6281</v>
      </c>
      <c r="AR19" s="2" t="s">
        <v>161</v>
      </c>
      <c r="AS19" s="6">
        <v>6281</v>
      </c>
      <c r="AT19" s="6">
        <v>5826</v>
      </c>
      <c r="AU19" s="2" t="s">
        <v>161</v>
      </c>
      <c r="AV19" s="6">
        <v>5826</v>
      </c>
      <c r="AW19" s="6">
        <v>5591</v>
      </c>
      <c r="AX19" s="2" t="s">
        <v>161</v>
      </c>
      <c r="AY19" s="6">
        <v>5591</v>
      </c>
      <c r="AZ19" s="6">
        <v>5370</v>
      </c>
      <c r="BA19" s="2" t="s">
        <v>161</v>
      </c>
      <c r="BB19" s="6">
        <v>5370</v>
      </c>
      <c r="BC19" s="6">
        <v>5370</v>
      </c>
      <c r="BD19" s="6">
        <v>7014</v>
      </c>
      <c r="BE19" s="2"/>
      <c r="BF19" s="2"/>
      <c r="BG19" s="2">
        <v>12</v>
      </c>
      <c r="BH19" s="2">
        <v>113</v>
      </c>
      <c r="BI19" s="2" t="s">
        <v>199</v>
      </c>
      <c r="BJ19" s="2" t="s">
        <v>200</v>
      </c>
      <c r="BK19" s="6">
        <v>69682</v>
      </c>
      <c r="BL19" s="2">
        <v>1</v>
      </c>
      <c r="BM19" s="2">
        <v>0</v>
      </c>
      <c r="BN19" s="6">
        <v>71682</v>
      </c>
      <c r="BO19" s="6">
        <v>67441</v>
      </c>
      <c r="BP19" s="2">
        <v>1</v>
      </c>
      <c r="BQ19" s="2">
        <v>0</v>
      </c>
      <c r="BR19" s="6">
        <v>69441</v>
      </c>
      <c r="BS19" s="6">
        <v>79905</v>
      </c>
      <c r="BT19" s="2">
        <v>0</v>
      </c>
      <c r="BU19" s="2">
        <v>0</v>
      </c>
      <c r="BV19" s="6">
        <v>79905</v>
      </c>
      <c r="BW19" s="6">
        <v>77182</v>
      </c>
      <c r="BX19" s="2">
        <v>1</v>
      </c>
      <c r="BY19" s="2">
        <v>0</v>
      </c>
      <c r="BZ19" s="6">
        <v>79182</v>
      </c>
      <c r="CA19" s="6">
        <v>69441</v>
      </c>
      <c r="CB19" s="2">
        <v>5</v>
      </c>
      <c r="CC19" s="2"/>
      <c r="CD19" s="2"/>
      <c r="CE19" s="2">
        <v>12</v>
      </c>
      <c r="CF19" s="2">
        <v>146</v>
      </c>
      <c r="CG19" s="2" t="s">
        <v>201</v>
      </c>
      <c r="CH19" s="2" t="s">
        <v>62</v>
      </c>
      <c r="CI19" s="6">
        <v>1616562</v>
      </c>
      <c r="CJ19" s="2">
        <v>22</v>
      </c>
      <c r="CK19" s="2">
        <v>0</v>
      </c>
      <c r="CL19" s="2">
        <v>3</v>
      </c>
      <c r="CM19" s="2">
        <v>1</v>
      </c>
      <c r="CN19" s="6">
        <v>1642562</v>
      </c>
      <c r="CO19" s="2" t="s">
        <v>92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2"/>
      <c r="B20" s="12">
        <v>16</v>
      </c>
      <c r="C20" s="12">
        <v>102</v>
      </c>
      <c r="D20" s="12" t="s">
        <v>192</v>
      </c>
      <c r="E20" s="12" t="s">
        <v>193</v>
      </c>
      <c r="F20" s="16">
        <v>52232</v>
      </c>
      <c r="G20" s="16">
        <v>44994</v>
      </c>
      <c r="H20" s="16">
        <v>102465</v>
      </c>
      <c r="I20" s="16">
        <v>23690</v>
      </c>
      <c r="J20" s="16">
        <v>19789</v>
      </c>
      <c r="K20" s="16">
        <v>9368</v>
      </c>
      <c r="L20" s="12" t="s">
        <v>186</v>
      </c>
      <c r="M20" s="12">
        <v>0</v>
      </c>
      <c r="N20" s="12">
        <v>30</v>
      </c>
      <c r="O20" s="16">
        <v>255038</v>
      </c>
      <c r="P20" s="2"/>
      <c r="Q20" s="2"/>
      <c r="R20" s="2"/>
      <c r="S20" s="2">
        <v>16</v>
      </c>
      <c r="T20" s="2">
        <v>134</v>
      </c>
      <c r="U20" s="2" t="s">
        <v>182</v>
      </c>
      <c r="V20" s="2" t="s">
        <v>183</v>
      </c>
      <c r="W20" s="6">
        <v>5929</v>
      </c>
      <c r="X20" s="2" t="s">
        <v>161</v>
      </c>
      <c r="Y20" s="6">
        <v>5929</v>
      </c>
      <c r="Z20" s="6">
        <v>6557</v>
      </c>
      <c r="AA20" s="2" t="s">
        <v>161</v>
      </c>
      <c r="AB20" s="6">
        <v>6557</v>
      </c>
      <c r="AC20" s="2" t="s">
        <v>41</v>
      </c>
      <c r="AD20" s="2" t="s">
        <v>161</v>
      </c>
      <c r="AE20" s="2" t="s">
        <v>41</v>
      </c>
      <c r="AF20" s="2" t="s">
        <v>41</v>
      </c>
      <c r="AG20" s="2" t="s">
        <v>161</v>
      </c>
      <c r="AH20" s="2" t="s">
        <v>41</v>
      </c>
      <c r="AI20" s="6">
        <v>5929</v>
      </c>
      <c r="AJ20" s="6">
        <v>3750</v>
      </c>
      <c r="AK20" s="2"/>
      <c r="AL20" s="2"/>
      <c r="AM20" s="2">
        <v>16</v>
      </c>
      <c r="AN20" s="2">
        <v>134</v>
      </c>
      <c r="AO20" s="2" t="s">
        <v>182</v>
      </c>
      <c r="AP20" s="2" t="s">
        <v>183</v>
      </c>
      <c r="AQ20" s="6">
        <v>6122</v>
      </c>
      <c r="AR20" s="2" t="s">
        <v>161</v>
      </c>
      <c r="AS20" s="6">
        <v>6122</v>
      </c>
      <c r="AT20" s="6">
        <v>5400</v>
      </c>
      <c r="AU20" s="2" t="s">
        <v>161</v>
      </c>
      <c r="AV20" s="6">
        <v>5400</v>
      </c>
      <c r="AW20" s="2" t="s">
        <v>161</v>
      </c>
      <c r="AX20" s="2" t="s">
        <v>161</v>
      </c>
      <c r="AY20" s="2" t="s">
        <v>41</v>
      </c>
      <c r="AZ20" s="2" t="s">
        <v>161</v>
      </c>
      <c r="BA20" s="2" t="s">
        <v>161</v>
      </c>
      <c r="BB20" s="2" t="s">
        <v>41</v>
      </c>
      <c r="BC20" s="6">
        <v>5400</v>
      </c>
      <c r="BD20" s="6">
        <v>5574</v>
      </c>
      <c r="BE20" s="2"/>
      <c r="BF20" s="2"/>
      <c r="BG20" s="2">
        <v>12</v>
      </c>
      <c r="BH20" s="2">
        <v>140</v>
      </c>
      <c r="BI20" s="2" t="s">
        <v>178</v>
      </c>
      <c r="BJ20" s="2" t="s">
        <v>179</v>
      </c>
      <c r="BK20" s="6">
        <v>73562</v>
      </c>
      <c r="BL20" s="2">
        <v>0</v>
      </c>
      <c r="BM20" s="2">
        <v>0</v>
      </c>
      <c r="BN20" s="6">
        <v>73562</v>
      </c>
      <c r="BO20" s="6">
        <v>70632</v>
      </c>
      <c r="BP20" s="2">
        <v>0</v>
      </c>
      <c r="BQ20" s="2">
        <v>0</v>
      </c>
      <c r="BR20" s="6">
        <v>70632</v>
      </c>
      <c r="BS20" s="6">
        <v>74737</v>
      </c>
      <c r="BT20" s="2">
        <v>2</v>
      </c>
      <c r="BU20" s="2">
        <v>0</v>
      </c>
      <c r="BV20" s="6">
        <v>78737</v>
      </c>
      <c r="BW20" s="6">
        <v>69130</v>
      </c>
      <c r="BX20" s="2">
        <v>0</v>
      </c>
      <c r="BY20" s="2">
        <v>0</v>
      </c>
      <c r="BZ20" s="6">
        <v>69130</v>
      </c>
      <c r="CA20" s="6">
        <v>69130</v>
      </c>
      <c r="CB20" s="2">
        <v>5</v>
      </c>
      <c r="CC20" s="2"/>
      <c r="CD20" s="2"/>
      <c r="CE20" s="2">
        <v>12</v>
      </c>
      <c r="CF20" s="2">
        <v>120</v>
      </c>
      <c r="CG20" s="2" t="s">
        <v>202</v>
      </c>
      <c r="CH20" s="2" t="s">
        <v>203</v>
      </c>
      <c r="CI20" s="6">
        <v>1160146</v>
      </c>
      <c r="CJ20" s="2">
        <v>15</v>
      </c>
      <c r="CK20" s="2">
        <v>120</v>
      </c>
      <c r="CL20" s="2">
        <v>14</v>
      </c>
      <c r="CM20" s="2">
        <v>1</v>
      </c>
      <c r="CN20" s="6">
        <v>1328146</v>
      </c>
      <c r="CO20" s="2" t="s">
        <v>92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2"/>
      <c r="B21" s="12">
        <v>17</v>
      </c>
      <c r="C21" s="12">
        <v>197</v>
      </c>
      <c r="D21" s="12" t="s">
        <v>184</v>
      </c>
      <c r="E21" s="12" t="s">
        <v>204</v>
      </c>
      <c r="F21" s="16">
        <v>76209</v>
      </c>
      <c r="G21" s="16">
        <v>63570</v>
      </c>
      <c r="H21" s="16">
        <v>81338</v>
      </c>
      <c r="I21" s="12">
        <v>0</v>
      </c>
      <c r="J21" s="12">
        <v>0</v>
      </c>
      <c r="K21" s="12">
        <v>0</v>
      </c>
      <c r="L21" s="12" t="s">
        <v>186</v>
      </c>
      <c r="M21" s="12">
        <v>0</v>
      </c>
      <c r="N21" s="12">
        <v>0</v>
      </c>
      <c r="O21" s="16">
        <v>253617</v>
      </c>
      <c r="P21" s="2"/>
      <c r="Q21" s="2"/>
      <c r="R21" s="2"/>
      <c r="S21" s="2">
        <v>17</v>
      </c>
      <c r="T21" s="2">
        <v>135</v>
      </c>
      <c r="U21" s="2" t="s">
        <v>188</v>
      </c>
      <c r="V21" s="2" t="s">
        <v>189</v>
      </c>
      <c r="W21" s="6">
        <v>4979</v>
      </c>
      <c r="X21" s="2" t="s">
        <v>161</v>
      </c>
      <c r="Y21" s="6">
        <v>4979</v>
      </c>
      <c r="Z21" s="6">
        <v>4967</v>
      </c>
      <c r="AA21" s="2" t="s">
        <v>161</v>
      </c>
      <c r="AB21" s="6">
        <v>4967</v>
      </c>
      <c r="AC21" s="6">
        <v>5990</v>
      </c>
      <c r="AD21" s="2" t="s">
        <v>161</v>
      </c>
      <c r="AE21" s="6">
        <v>5990</v>
      </c>
      <c r="AF21" s="6">
        <v>5524</v>
      </c>
      <c r="AG21" s="2" t="s">
        <v>161</v>
      </c>
      <c r="AH21" s="6">
        <v>5524</v>
      </c>
      <c r="AI21" s="6">
        <v>4967</v>
      </c>
      <c r="AJ21" s="6">
        <v>3750</v>
      </c>
      <c r="AK21" s="2"/>
      <c r="AL21" s="2"/>
      <c r="AM21" s="2">
        <v>17</v>
      </c>
      <c r="AN21" s="2">
        <v>123</v>
      </c>
      <c r="AO21" s="2" t="s">
        <v>190</v>
      </c>
      <c r="AP21" s="2" t="s">
        <v>191</v>
      </c>
      <c r="AQ21" s="6">
        <v>6408</v>
      </c>
      <c r="AR21" s="2">
        <v>1</v>
      </c>
      <c r="AS21" s="6">
        <v>6608</v>
      </c>
      <c r="AT21" s="6">
        <v>5790</v>
      </c>
      <c r="AU21" s="2" t="s">
        <v>161</v>
      </c>
      <c r="AV21" s="6">
        <v>5790</v>
      </c>
      <c r="AW21" s="6">
        <v>7851</v>
      </c>
      <c r="AX21" s="2" t="s">
        <v>161</v>
      </c>
      <c r="AY21" s="6">
        <v>7851</v>
      </c>
      <c r="AZ21" s="6">
        <v>6975</v>
      </c>
      <c r="BA21" s="2" t="s">
        <v>161</v>
      </c>
      <c r="BB21" s="6">
        <v>6975</v>
      </c>
      <c r="BC21" s="6">
        <v>5790</v>
      </c>
      <c r="BD21" s="2" t="s">
        <v>205</v>
      </c>
      <c r="BE21" s="2"/>
      <c r="BF21" s="2"/>
      <c r="BG21" s="2">
        <v>12</v>
      </c>
      <c r="BH21" s="2">
        <v>135</v>
      </c>
      <c r="BI21" s="2" t="s">
        <v>188</v>
      </c>
      <c r="BJ21" s="2" t="s">
        <v>189</v>
      </c>
      <c r="BK21" s="6">
        <v>72975</v>
      </c>
      <c r="BL21" s="2">
        <v>0</v>
      </c>
      <c r="BM21" s="2">
        <v>0</v>
      </c>
      <c r="BN21" s="6">
        <v>72975</v>
      </c>
      <c r="BO21" s="6">
        <v>69954</v>
      </c>
      <c r="BP21" s="2">
        <v>0</v>
      </c>
      <c r="BQ21" s="2">
        <v>0</v>
      </c>
      <c r="BR21" s="6">
        <v>69954</v>
      </c>
      <c r="BS21" s="2" t="s">
        <v>41</v>
      </c>
      <c r="BT21" s="2">
        <v>0</v>
      </c>
      <c r="BU21" s="2">
        <v>0</v>
      </c>
      <c r="BV21" s="2" t="s">
        <v>41</v>
      </c>
      <c r="BW21" s="2" t="s">
        <v>41</v>
      </c>
      <c r="BX21" s="2">
        <v>0</v>
      </c>
      <c r="BY21" s="2">
        <v>0</v>
      </c>
      <c r="BZ21" s="2" t="s">
        <v>41</v>
      </c>
      <c r="CA21" s="6">
        <v>69954</v>
      </c>
      <c r="CB21" s="2">
        <v>5</v>
      </c>
      <c r="CC21" s="2"/>
      <c r="CD21" s="2"/>
      <c r="CE21" s="2">
        <v>12</v>
      </c>
      <c r="CF21" s="2">
        <v>113</v>
      </c>
      <c r="CG21" s="2" t="s">
        <v>199</v>
      </c>
      <c r="CH21" s="2" t="s">
        <v>200</v>
      </c>
      <c r="CI21" s="6">
        <v>1027294</v>
      </c>
      <c r="CJ21" s="2">
        <v>13</v>
      </c>
      <c r="CK21" s="2">
        <v>0</v>
      </c>
      <c r="CL21" s="2">
        <v>2</v>
      </c>
      <c r="CM21" s="2">
        <v>0</v>
      </c>
      <c r="CN21" s="6">
        <v>1031294</v>
      </c>
      <c r="CO21" s="2" t="s">
        <v>92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2"/>
      <c r="B22" s="12">
        <v>18</v>
      </c>
      <c r="C22" s="12">
        <v>188</v>
      </c>
      <c r="D22" s="12" t="s">
        <v>206</v>
      </c>
      <c r="E22" s="12" t="s">
        <v>207</v>
      </c>
      <c r="F22" s="16">
        <v>65054</v>
      </c>
      <c r="G22" s="16">
        <v>62331</v>
      </c>
      <c r="H22" s="16">
        <v>117254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6">
        <v>244639</v>
      </c>
      <c r="P22" s="2"/>
      <c r="Q22" s="2"/>
      <c r="R22" s="2"/>
      <c r="S22" s="2">
        <v>18</v>
      </c>
      <c r="T22" s="2">
        <v>100</v>
      </c>
      <c r="U22" s="2" t="s">
        <v>208</v>
      </c>
      <c r="V22" s="2" t="s">
        <v>209</v>
      </c>
      <c r="W22" s="2" t="s">
        <v>92</v>
      </c>
      <c r="X22" s="2" t="s">
        <v>161</v>
      </c>
      <c r="Y22" s="2" t="s">
        <v>41</v>
      </c>
      <c r="Z22" s="2" t="s">
        <v>92</v>
      </c>
      <c r="AA22" s="2" t="s">
        <v>161</v>
      </c>
      <c r="AB22" s="2" t="s">
        <v>41</v>
      </c>
      <c r="AC22" s="2" t="s">
        <v>92</v>
      </c>
      <c r="AD22" s="2" t="s">
        <v>161</v>
      </c>
      <c r="AE22" s="2" t="s">
        <v>41</v>
      </c>
      <c r="AF22" s="2" t="s">
        <v>92</v>
      </c>
      <c r="AG22" s="2" t="s">
        <v>161</v>
      </c>
      <c r="AH22" s="2" t="s">
        <v>41</v>
      </c>
      <c r="AI22" s="2" t="s">
        <v>92</v>
      </c>
      <c r="AJ22" s="2">
        <v>0</v>
      </c>
      <c r="AK22" s="2"/>
      <c r="AL22" s="2"/>
      <c r="AM22" s="2">
        <v>18</v>
      </c>
      <c r="AN22" s="2">
        <v>100</v>
      </c>
      <c r="AO22" s="2" t="s">
        <v>208</v>
      </c>
      <c r="AP22" s="2" t="s">
        <v>209</v>
      </c>
      <c r="AQ22" s="2" t="s">
        <v>161</v>
      </c>
      <c r="AR22" s="2" t="s">
        <v>161</v>
      </c>
      <c r="AS22" s="2" t="s">
        <v>41</v>
      </c>
      <c r="AT22" s="2" t="s">
        <v>161</v>
      </c>
      <c r="AU22" s="2" t="s">
        <v>161</v>
      </c>
      <c r="AV22" s="2" t="s">
        <v>41</v>
      </c>
      <c r="AW22" s="2" t="s">
        <v>161</v>
      </c>
      <c r="AX22" s="2" t="s">
        <v>161</v>
      </c>
      <c r="AY22" s="2" t="s">
        <v>41</v>
      </c>
      <c r="AZ22" s="2" t="s">
        <v>161</v>
      </c>
      <c r="BA22" s="2" t="s">
        <v>161</v>
      </c>
      <c r="BB22" s="2" t="s">
        <v>41</v>
      </c>
      <c r="BC22" s="2" t="s">
        <v>92</v>
      </c>
      <c r="BD22" s="2">
        <v>0</v>
      </c>
      <c r="BE22" s="2"/>
      <c r="BF22" s="2"/>
      <c r="BG22" s="2">
        <v>12</v>
      </c>
      <c r="BH22" s="2">
        <v>121</v>
      </c>
      <c r="BI22" s="2" t="s">
        <v>174</v>
      </c>
      <c r="BJ22" s="2" t="s">
        <v>175</v>
      </c>
      <c r="BK22" s="6">
        <v>73724</v>
      </c>
      <c r="BL22" s="2">
        <v>0</v>
      </c>
      <c r="BM22" s="2">
        <v>0</v>
      </c>
      <c r="BN22" s="6">
        <v>73724</v>
      </c>
      <c r="BO22" s="6">
        <v>70810</v>
      </c>
      <c r="BP22" s="2">
        <v>0</v>
      </c>
      <c r="BQ22" s="2">
        <v>0</v>
      </c>
      <c r="BR22" s="6">
        <v>70810</v>
      </c>
      <c r="BS22" s="6">
        <v>77036</v>
      </c>
      <c r="BT22" s="2">
        <v>1</v>
      </c>
      <c r="BU22" s="2">
        <v>2</v>
      </c>
      <c r="BV22" s="6">
        <v>99036</v>
      </c>
      <c r="BW22" s="2" t="s">
        <v>41</v>
      </c>
      <c r="BX22" s="2">
        <v>0</v>
      </c>
      <c r="BY22" s="2">
        <v>0</v>
      </c>
      <c r="BZ22" s="2" t="s">
        <v>41</v>
      </c>
      <c r="CA22" s="6">
        <v>70810</v>
      </c>
      <c r="CB22" s="2">
        <v>5</v>
      </c>
      <c r="CC22" s="2"/>
      <c r="CD22" s="2"/>
      <c r="CE22" s="2">
        <v>12</v>
      </c>
      <c r="CF22" s="2">
        <v>158</v>
      </c>
      <c r="CG22" s="2" t="s">
        <v>172</v>
      </c>
      <c r="CH22" s="2" t="s">
        <v>173</v>
      </c>
      <c r="CI22" s="6">
        <v>981574</v>
      </c>
      <c r="CJ22" s="2">
        <v>13</v>
      </c>
      <c r="CK22" s="2">
        <v>0</v>
      </c>
      <c r="CL22" s="2">
        <v>6</v>
      </c>
      <c r="CM22" s="2">
        <v>2</v>
      </c>
      <c r="CN22" s="6">
        <v>1033574</v>
      </c>
      <c r="CO22" s="2" t="s">
        <v>92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2"/>
      <c r="B23" s="12">
        <v>19</v>
      </c>
      <c r="C23" s="12">
        <v>123</v>
      </c>
      <c r="D23" s="12" t="s">
        <v>190</v>
      </c>
      <c r="E23" s="12" t="s">
        <v>191</v>
      </c>
      <c r="F23" s="16">
        <v>60917</v>
      </c>
      <c r="G23" s="16">
        <v>36738</v>
      </c>
      <c r="H23" s="16">
        <v>84507</v>
      </c>
      <c r="I23" s="16">
        <v>31323</v>
      </c>
      <c r="J23" s="16">
        <v>3750</v>
      </c>
      <c r="K23" s="12">
        <v>5</v>
      </c>
      <c r="L23" s="12">
        <v>0</v>
      </c>
      <c r="M23" s="12">
        <v>0</v>
      </c>
      <c r="N23" s="12">
        <v>0</v>
      </c>
      <c r="O23" s="16">
        <v>222235</v>
      </c>
      <c r="P23" s="2"/>
      <c r="Q23" s="2"/>
      <c r="R23" s="2"/>
      <c r="S23" s="2">
        <v>18</v>
      </c>
      <c r="T23" s="2">
        <v>111</v>
      </c>
      <c r="U23" s="2" t="s">
        <v>210</v>
      </c>
      <c r="V23" s="2" t="s">
        <v>211</v>
      </c>
      <c r="W23" s="2" t="s">
        <v>92</v>
      </c>
      <c r="X23" s="2" t="s">
        <v>161</v>
      </c>
      <c r="Y23" s="2" t="s">
        <v>41</v>
      </c>
      <c r="Z23" s="2" t="s">
        <v>92</v>
      </c>
      <c r="AA23" s="2" t="s">
        <v>161</v>
      </c>
      <c r="AB23" s="2" t="s">
        <v>41</v>
      </c>
      <c r="AC23" s="2" t="s">
        <v>92</v>
      </c>
      <c r="AD23" s="2" t="s">
        <v>161</v>
      </c>
      <c r="AE23" s="2" t="s">
        <v>41</v>
      </c>
      <c r="AF23" s="2" t="s">
        <v>92</v>
      </c>
      <c r="AG23" s="2" t="s">
        <v>161</v>
      </c>
      <c r="AH23" s="2" t="s">
        <v>41</v>
      </c>
      <c r="AI23" s="2" t="s">
        <v>92</v>
      </c>
      <c r="AJ23" s="2">
        <v>0</v>
      </c>
      <c r="AK23" s="2"/>
      <c r="AL23" s="2"/>
      <c r="AM23" s="2">
        <v>18</v>
      </c>
      <c r="AN23" s="2">
        <v>111</v>
      </c>
      <c r="AO23" s="2" t="s">
        <v>210</v>
      </c>
      <c r="AP23" s="2" t="s">
        <v>212</v>
      </c>
      <c r="AQ23" s="2" t="s">
        <v>161</v>
      </c>
      <c r="AR23" s="2" t="s">
        <v>161</v>
      </c>
      <c r="AS23" s="2" t="s">
        <v>41</v>
      </c>
      <c r="AT23" s="2" t="s">
        <v>161</v>
      </c>
      <c r="AU23" s="2" t="s">
        <v>161</v>
      </c>
      <c r="AV23" s="2" t="s">
        <v>41</v>
      </c>
      <c r="AW23" s="2" t="s">
        <v>161</v>
      </c>
      <c r="AX23" s="2" t="s">
        <v>161</v>
      </c>
      <c r="AY23" s="2" t="s">
        <v>41</v>
      </c>
      <c r="AZ23" s="2" t="s">
        <v>161</v>
      </c>
      <c r="BA23" s="2" t="s">
        <v>161</v>
      </c>
      <c r="BB23" s="2" t="s">
        <v>41</v>
      </c>
      <c r="BC23" s="2" t="s">
        <v>92</v>
      </c>
      <c r="BD23" s="2">
        <v>0</v>
      </c>
      <c r="BE23" s="2"/>
      <c r="BF23" s="2"/>
      <c r="BG23" s="2">
        <v>12</v>
      </c>
      <c r="BH23" s="2">
        <v>172</v>
      </c>
      <c r="BI23" s="2" t="s">
        <v>187</v>
      </c>
      <c r="BJ23" s="2" t="s">
        <v>194</v>
      </c>
      <c r="BK23" s="6">
        <v>75496</v>
      </c>
      <c r="BL23" s="2">
        <v>1</v>
      </c>
      <c r="BM23" s="2">
        <v>1</v>
      </c>
      <c r="BN23" s="6">
        <v>87496</v>
      </c>
      <c r="BO23" s="6">
        <v>71607</v>
      </c>
      <c r="BP23" s="2">
        <v>0</v>
      </c>
      <c r="BQ23" s="2">
        <v>0</v>
      </c>
      <c r="BR23" s="6">
        <v>71607</v>
      </c>
      <c r="BS23" s="2" t="s">
        <v>92</v>
      </c>
      <c r="BT23" s="2">
        <v>0</v>
      </c>
      <c r="BU23" s="2">
        <v>0</v>
      </c>
      <c r="BV23" s="2" t="s">
        <v>92</v>
      </c>
      <c r="BW23" s="2" t="s">
        <v>41</v>
      </c>
      <c r="BX23" s="2">
        <v>0</v>
      </c>
      <c r="BY23" s="2">
        <v>0</v>
      </c>
      <c r="BZ23" s="2" t="s">
        <v>41</v>
      </c>
      <c r="CA23" s="6">
        <v>71607</v>
      </c>
      <c r="CB23" s="2">
        <v>5</v>
      </c>
      <c r="CC23" s="2"/>
      <c r="CD23" s="2"/>
      <c r="CE23" s="2">
        <v>12</v>
      </c>
      <c r="CF23" s="2">
        <v>131</v>
      </c>
      <c r="CG23" s="2" t="s">
        <v>164</v>
      </c>
      <c r="CH23" s="2" t="s">
        <v>165</v>
      </c>
      <c r="CI23" s="6">
        <v>707091</v>
      </c>
      <c r="CJ23" s="2">
        <v>11</v>
      </c>
      <c r="CK23" s="2">
        <v>0</v>
      </c>
      <c r="CL23" s="2">
        <v>0</v>
      </c>
      <c r="CM23" s="2">
        <v>0</v>
      </c>
      <c r="CN23" s="6">
        <v>707091</v>
      </c>
      <c r="CO23" s="2" t="s">
        <v>92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2"/>
      <c r="B24" s="12">
        <v>20</v>
      </c>
      <c r="C24" s="12">
        <v>120</v>
      </c>
      <c r="D24" s="12" t="s">
        <v>202</v>
      </c>
      <c r="E24" s="12" t="s">
        <v>203</v>
      </c>
      <c r="F24" s="16">
        <v>70537</v>
      </c>
      <c r="G24" s="16">
        <v>64808</v>
      </c>
      <c r="H24" s="16">
        <v>76056</v>
      </c>
      <c r="I24" s="12">
        <v>0</v>
      </c>
      <c r="J24" s="12">
        <v>0</v>
      </c>
      <c r="K24" s="12">
        <v>5</v>
      </c>
      <c r="L24" s="12">
        <v>0</v>
      </c>
      <c r="M24" s="12">
        <v>0</v>
      </c>
      <c r="N24" s="12">
        <v>0</v>
      </c>
      <c r="O24" s="16">
        <v>216401</v>
      </c>
      <c r="P24" s="2"/>
      <c r="Q24" s="2"/>
      <c r="R24" s="2"/>
      <c r="S24" s="2">
        <v>18</v>
      </c>
      <c r="T24" s="2">
        <v>113</v>
      </c>
      <c r="U24" s="2" t="s">
        <v>199</v>
      </c>
      <c r="V24" s="2" t="s">
        <v>200</v>
      </c>
      <c r="W24" s="2" t="s">
        <v>92</v>
      </c>
      <c r="X24" s="2" t="s">
        <v>161</v>
      </c>
      <c r="Y24" s="2" t="s">
        <v>41</v>
      </c>
      <c r="Z24" s="2" t="s">
        <v>92</v>
      </c>
      <c r="AA24" s="2" t="s">
        <v>161</v>
      </c>
      <c r="AB24" s="2" t="s">
        <v>41</v>
      </c>
      <c r="AC24" s="2" t="s">
        <v>92</v>
      </c>
      <c r="AD24" s="2" t="s">
        <v>161</v>
      </c>
      <c r="AE24" s="2" t="s">
        <v>41</v>
      </c>
      <c r="AF24" s="2" t="s">
        <v>92</v>
      </c>
      <c r="AG24" s="2" t="s">
        <v>161</v>
      </c>
      <c r="AH24" s="2" t="s">
        <v>41</v>
      </c>
      <c r="AI24" s="2" t="s">
        <v>92</v>
      </c>
      <c r="AJ24" s="2">
        <v>0</v>
      </c>
      <c r="AK24" s="2"/>
      <c r="AL24" s="2"/>
      <c r="AM24" s="2">
        <v>18</v>
      </c>
      <c r="AN24" s="2">
        <v>113</v>
      </c>
      <c r="AO24" s="2" t="s">
        <v>199</v>
      </c>
      <c r="AP24" s="2" t="s">
        <v>200</v>
      </c>
      <c r="AQ24" s="2" t="s">
        <v>161</v>
      </c>
      <c r="AR24" s="2" t="s">
        <v>161</v>
      </c>
      <c r="AS24" s="2" t="s">
        <v>41</v>
      </c>
      <c r="AT24" s="2" t="s">
        <v>161</v>
      </c>
      <c r="AU24" s="2" t="s">
        <v>161</v>
      </c>
      <c r="AV24" s="2" t="s">
        <v>41</v>
      </c>
      <c r="AW24" s="2" t="s">
        <v>161</v>
      </c>
      <c r="AX24" s="2" t="s">
        <v>161</v>
      </c>
      <c r="AY24" s="2" t="s">
        <v>41</v>
      </c>
      <c r="AZ24" s="2" t="s">
        <v>161</v>
      </c>
      <c r="BA24" s="2" t="s">
        <v>161</v>
      </c>
      <c r="BB24" s="2" t="s">
        <v>41</v>
      </c>
      <c r="BC24" s="2" t="s">
        <v>92</v>
      </c>
      <c r="BD24" s="2">
        <v>0</v>
      </c>
      <c r="BE24" s="2"/>
      <c r="BF24" s="2"/>
      <c r="BG24" s="2">
        <v>12</v>
      </c>
      <c r="BH24" s="2">
        <v>146</v>
      </c>
      <c r="BI24" s="2" t="s">
        <v>201</v>
      </c>
      <c r="BJ24" s="2" t="s">
        <v>62</v>
      </c>
      <c r="BK24" s="6">
        <v>78917</v>
      </c>
      <c r="BL24" s="2">
        <v>1</v>
      </c>
      <c r="BM24" s="2">
        <v>0</v>
      </c>
      <c r="BN24" s="6">
        <v>80917</v>
      </c>
      <c r="BO24" s="6">
        <v>74600</v>
      </c>
      <c r="BP24" s="2">
        <v>0</v>
      </c>
      <c r="BQ24" s="2">
        <v>0</v>
      </c>
      <c r="BR24" s="6">
        <v>74600</v>
      </c>
      <c r="BS24" s="2" t="s">
        <v>41</v>
      </c>
      <c r="BT24" s="2">
        <v>0</v>
      </c>
      <c r="BU24" s="2">
        <v>0</v>
      </c>
      <c r="BV24" s="2" t="s">
        <v>41</v>
      </c>
      <c r="BW24" s="2" t="s">
        <v>41</v>
      </c>
      <c r="BX24" s="2">
        <v>0</v>
      </c>
      <c r="BY24" s="2">
        <v>0</v>
      </c>
      <c r="BZ24" s="2" t="s">
        <v>41</v>
      </c>
      <c r="CA24" s="6">
        <v>74600</v>
      </c>
      <c r="CB24" s="2">
        <v>5</v>
      </c>
      <c r="CC24" s="2"/>
      <c r="CD24" s="2"/>
      <c r="CE24" s="2">
        <v>12</v>
      </c>
      <c r="CF24" s="2">
        <v>125</v>
      </c>
      <c r="CG24" s="2" t="s">
        <v>213</v>
      </c>
      <c r="CH24" s="2" t="s">
        <v>214</v>
      </c>
      <c r="CI24" s="6">
        <v>356825</v>
      </c>
      <c r="CJ24" s="2">
        <v>4</v>
      </c>
      <c r="CK24" s="2">
        <v>0</v>
      </c>
      <c r="CL24" s="2">
        <v>2</v>
      </c>
      <c r="CM24" s="2">
        <v>4</v>
      </c>
      <c r="CN24" s="6">
        <v>440825</v>
      </c>
      <c r="CO24" s="2" t="s">
        <v>92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2"/>
      <c r="B25" s="12">
        <v>21</v>
      </c>
      <c r="C25" s="12">
        <v>172</v>
      </c>
      <c r="D25" s="12" t="s">
        <v>187</v>
      </c>
      <c r="E25" s="12" t="s">
        <v>71</v>
      </c>
      <c r="F25" s="16">
        <v>53750</v>
      </c>
      <c r="G25" s="16">
        <v>43343</v>
      </c>
      <c r="H25" s="16">
        <v>95070</v>
      </c>
      <c r="I25" s="16">
        <v>44528</v>
      </c>
      <c r="J25" s="16">
        <v>18517</v>
      </c>
      <c r="K25" s="12">
        <v>5</v>
      </c>
      <c r="L25" s="12" t="s">
        <v>186</v>
      </c>
      <c r="M25" s="12">
        <v>0</v>
      </c>
      <c r="N25" s="12">
        <v>80</v>
      </c>
      <c r="O25" s="16">
        <v>212708</v>
      </c>
      <c r="P25" s="2"/>
      <c r="Q25" s="2"/>
      <c r="R25" s="2"/>
      <c r="S25" s="2">
        <v>18</v>
      </c>
      <c r="T25" s="2">
        <v>120</v>
      </c>
      <c r="U25" s="2" t="s">
        <v>202</v>
      </c>
      <c r="V25" s="2" t="s">
        <v>203</v>
      </c>
      <c r="W25" s="2" t="s">
        <v>92</v>
      </c>
      <c r="X25" s="2" t="s">
        <v>161</v>
      </c>
      <c r="Y25" s="2" t="s">
        <v>41</v>
      </c>
      <c r="Z25" s="2" t="s">
        <v>92</v>
      </c>
      <c r="AA25" s="2" t="s">
        <v>161</v>
      </c>
      <c r="AB25" s="2" t="s">
        <v>41</v>
      </c>
      <c r="AC25" s="2" t="s">
        <v>92</v>
      </c>
      <c r="AD25" s="2" t="s">
        <v>161</v>
      </c>
      <c r="AE25" s="2" t="s">
        <v>41</v>
      </c>
      <c r="AF25" s="2" t="s">
        <v>92</v>
      </c>
      <c r="AG25" s="2" t="s">
        <v>161</v>
      </c>
      <c r="AH25" s="2" t="s">
        <v>41</v>
      </c>
      <c r="AI25" s="2" t="s">
        <v>92</v>
      </c>
      <c r="AJ25" s="2">
        <v>0</v>
      </c>
      <c r="AK25" s="2"/>
      <c r="AL25" s="2"/>
      <c r="AM25" s="2">
        <v>18</v>
      </c>
      <c r="AN25" s="2">
        <v>120</v>
      </c>
      <c r="AO25" s="2" t="s">
        <v>202</v>
      </c>
      <c r="AP25" s="2" t="s">
        <v>203</v>
      </c>
      <c r="AQ25" s="2" t="s">
        <v>161</v>
      </c>
      <c r="AR25" s="2" t="s">
        <v>161</v>
      </c>
      <c r="AS25" s="2" t="s">
        <v>41</v>
      </c>
      <c r="AT25" s="2" t="s">
        <v>161</v>
      </c>
      <c r="AU25" s="2" t="s">
        <v>161</v>
      </c>
      <c r="AV25" s="2" t="s">
        <v>41</v>
      </c>
      <c r="AW25" s="2" t="s">
        <v>161</v>
      </c>
      <c r="AX25" s="2" t="s">
        <v>161</v>
      </c>
      <c r="AY25" s="2" t="s">
        <v>41</v>
      </c>
      <c r="AZ25" s="2" t="s">
        <v>161</v>
      </c>
      <c r="BA25" s="2" t="s">
        <v>161</v>
      </c>
      <c r="BB25" s="2" t="s">
        <v>41</v>
      </c>
      <c r="BC25" s="2" t="s">
        <v>92</v>
      </c>
      <c r="BD25" s="2">
        <v>0</v>
      </c>
      <c r="BE25" s="2"/>
      <c r="BF25" s="2"/>
      <c r="BG25" s="2">
        <v>12</v>
      </c>
      <c r="BH25" s="2">
        <v>120</v>
      </c>
      <c r="BI25" s="2" t="s">
        <v>202</v>
      </c>
      <c r="BJ25" s="2" t="s">
        <v>203</v>
      </c>
      <c r="BK25" s="2" t="s">
        <v>92</v>
      </c>
      <c r="BL25" s="2">
        <v>0</v>
      </c>
      <c r="BM25" s="2">
        <v>0</v>
      </c>
      <c r="BN25" s="2" t="s">
        <v>92</v>
      </c>
      <c r="BO25" s="6">
        <v>92607</v>
      </c>
      <c r="BP25" s="2">
        <v>0</v>
      </c>
      <c r="BQ25" s="2">
        <v>0</v>
      </c>
      <c r="BR25" s="6">
        <v>92607</v>
      </c>
      <c r="BS25" s="6">
        <v>84376</v>
      </c>
      <c r="BT25" s="2">
        <v>0</v>
      </c>
      <c r="BU25" s="2">
        <v>0</v>
      </c>
      <c r="BV25" s="6">
        <v>84376</v>
      </c>
      <c r="BW25" s="6">
        <v>77715</v>
      </c>
      <c r="BX25" s="2">
        <v>0</v>
      </c>
      <c r="BY25" s="2">
        <v>0</v>
      </c>
      <c r="BZ25" s="6">
        <v>77715</v>
      </c>
      <c r="CA25" s="6">
        <v>77715</v>
      </c>
      <c r="CB25" s="2">
        <v>5</v>
      </c>
      <c r="CC25" s="2"/>
      <c r="CD25" s="2"/>
      <c r="CE25" s="2">
        <v>12</v>
      </c>
      <c r="CF25" s="2">
        <v>159</v>
      </c>
      <c r="CG25" s="2" t="s">
        <v>168</v>
      </c>
      <c r="CH25" s="2" t="s">
        <v>169</v>
      </c>
      <c r="CI25" s="6">
        <v>312090</v>
      </c>
      <c r="CJ25" s="2">
        <v>5</v>
      </c>
      <c r="CK25" s="2">
        <v>0</v>
      </c>
      <c r="CL25" s="2">
        <v>3</v>
      </c>
      <c r="CM25" s="2">
        <v>0</v>
      </c>
      <c r="CN25" s="6">
        <v>318090</v>
      </c>
      <c r="CO25" s="2" t="s">
        <v>92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2"/>
      <c r="B26" s="12">
        <v>22</v>
      </c>
      <c r="C26" s="12">
        <v>186</v>
      </c>
      <c r="D26" s="12" t="s">
        <v>195</v>
      </c>
      <c r="E26" s="12" t="s">
        <v>196</v>
      </c>
      <c r="F26" s="16">
        <v>83055</v>
      </c>
      <c r="G26" s="16">
        <v>66872</v>
      </c>
      <c r="H26" s="16">
        <v>96127</v>
      </c>
      <c r="I26" s="12">
        <v>0</v>
      </c>
      <c r="J26" s="12">
        <v>0</v>
      </c>
      <c r="K26" s="12">
        <v>5</v>
      </c>
      <c r="L26" s="12">
        <v>0</v>
      </c>
      <c r="M26" s="12">
        <v>0</v>
      </c>
      <c r="N26" s="12">
        <v>50</v>
      </c>
      <c r="O26" s="16">
        <v>201054</v>
      </c>
      <c r="P26" s="2"/>
      <c r="Q26" s="2"/>
      <c r="R26" s="2"/>
      <c r="S26" s="2">
        <v>18</v>
      </c>
      <c r="T26" s="2">
        <v>122</v>
      </c>
      <c r="U26" s="2" t="s">
        <v>197</v>
      </c>
      <c r="V26" s="2" t="s">
        <v>198</v>
      </c>
      <c r="W26" s="2" t="s">
        <v>92</v>
      </c>
      <c r="X26" s="2" t="s">
        <v>161</v>
      </c>
      <c r="Y26" s="2" t="s">
        <v>41</v>
      </c>
      <c r="Z26" s="2" t="s">
        <v>92</v>
      </c>
      <c r="AA26" s="2" t="s">
        <v>161</v>
      </c>
      <c r="AB26" s="2" t="s">
        <v>41</v>
      </c>
      <c r="AC26" s="2" t="s">
        <v>92</v>
      </c>
      <c r="AD26" s="2" t="s">
        <v>161</v>
      </c>
      <c r="AE26" s="2" t="s">
        <v>41</v>
      </c>
      <c r="AF26" s="2" t="s">
        <v>92</v>
      </c>
      <c r="AG26" s="2" t="s">
        <v>161</v>
      </c>
      <c r="AH26" s="2" t="s">
        <v>41</v>
      </c>
      <c r="AI26" s="2" t="s">
        <v>92</v>
      </c>
      <c r="AJ26" s="2">
        <v>0</v>
      </c>
      <c r="AK26" s="2"/>
      <c r="AL26" s="2"/>
      <c r="AM26" s="2">
        <v>18</v>
      </c>
      <c r="AN26" s="2">
        <v>122</v>
      </c>
      <c r="AO26" s="2" t="s">
        <v>197</v>
      </c>
      <c r="AP26" s="2" t="s">
        <v>198</v>
      </c>
      <c r="AQ26" s="2" t="s">
        <v>161</v>
      </c>
      <c r="AR26" s="2" t="s">
        <v>161</v>
      </c>
      <c r="AS26" s="2" t="s">
        <v>41</v>
      </c>
      <c r="AT26" s="2" t="s">
        <v>161</v>
      </c>
      <c r="AU26" s="2" t="s">
        <v>161</v>
      </c>
      <c r="AV26" s="2" t="s">
        <v>41</v>
      </c>
      <c r="AW26" s="2" t="s">
        <v>161</v>
      </c>
      <c r="AX26" s="2" t="s">
        <v>161</v>
      </c>
      <c r="AY26" s="2" t="s">
        <v>41</v>
      </c>
      <c r="AZ26" s="2" t="s">
        <v>161</v>
      </c>
      <c r="BA26" s="2" t="s">
        <v>161</v>
      </c>
      <c r="BB26" s="2" t="s">
        <v>41</v>
      </c>
      <c r="BC26" s="2" t="s">
        <v>92</v>
      </c>
      <c r="BD26" s="2">
        <v>0</v>
      </c>
      <c r="BE26" s="2"/>
      <c r="BF26" s="2"/>
      <c r="BG26" s="2">
        <v>22</v>
      </c>
      <c r="BH26" s="2">
        <v>100</v>
      </c>
      <c r="BI26" s="2" t="s">
        <v>208</v>
      </c>
      <c r="BJ26" s="2" t="s">
        <v>209</v>
      </c>
      <c r="BK26" s="2" t="s">
        <v>41</v>
      </c>
      <c r="BL26" s="2">
        <v>0</v>
      </c>
      <c r="BM26" s="2">
        <v>0</v>
      </c>
      <c r="BN26" s="2" t="s">
        <v>41</v>
      </c>
      <c r="BO26" s="2" t="s">
        <v>41</v>
      </c>
      <c r="BP26" s="2">
        <v>0</v>
      </c>
      <c r="BQ26" s="2">
        <v>0</v>
      </c>
      <c r="BR26" s="2" t="s">
        <v>41</v>
      </c>
      <c r="BS26" s="2" t="s">
        <v>41</v>
      </c>
      <c r="BT26" s="2">
        <v>0</v>
      </c>
      <c r="BU26" s="2">
        <v>0</v>
      </c>
      <c r="BV26" s="2" t="s">
        <v>41</v>
      </c>
      <c r="BW26" s="2" t="s">
        <v>41</v>
      </c>
      <c r="BX26" s="2">
        <v>0</v>
      </c>
      <c r="BY26" s="2">
        <v>0</v>
      </c>
      <c r="BZ26" s="2" t="s">
        <v>41</v>
      </c>
      <c r="CA26" s="2" t="s">
        <v>92</v>
      </c>
      <c r="CB26" s="2">
        <v>0</v>
      </c>
      <c r="CC26" s="2"/>
      <c r="CD26" s="2"/>
      <c r="CE26" s="2">
        <v>12</v>
      </c>
      <c r="CF26" s="2">
        <v>134</v>
      </c>
      <c r="CG26" s="2" t="s">
        <v>182</v>
      </c>
      <c r="CH26" s="2" t="s">
        <v>183</v>
      </c>
      <c r="CI26" s="6">
        <v>291391</v>
      </c>
      <c r="CJ26" s="2">
        <v>4</v>
      </c>
      <c r="CK26" s="2">
        <v>0</v>
      </c>
      <c r="CL26" s="2">
        <v>1</v>
      </c>
      <c r="CM26" s="2">
        <v>0</v>
      </c>
      <c r="CN26" s="6">
        <v>293391</v>
      </c>
      <c r="CO26" s="2" t="s">
        <v>92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2"/>
      <c r="B27" s="12">
        <v>23</v>
      </c>
      <c r="C27" s="12">
        <v>125</v>
      </c>
      <c r="D27" s="12" t="s">
        <v>213</v>
      </c>
      <c r="E27" s="12" t="s">
        <v>214</v>
      </c>
      <c r="F27" s="16">
        <v>64060</v>
      </c>
      <c r="G27" s="16">
        <v>59442</v>
      </c>
      <c r="H27" s="16">
        <v>60211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6">
        <v>183713</v>
      </c>
      <c r="P27" s="2"/>
      <c r="Q27" s="2"/>
      <c r="R27" s="2"/>
      <c r="S27" s="2">
        <v>18</v>
      </c>
      <c r="T27" s="2">
        <v>125</v>
      </c>
      <c r="U27" s="2" t="s">
        <v>213</v>
      </c>
      <c r="V27" s="2" t="s">
        <v>214</v>
      </c>
      <c r="W27" s="2" t="s">
        <v>92</v>
      </c>
      <c r="X27" s="2" t="s">
        <v>161</v>
      </c>
      <c r="Y27" s="2" t="s">
        <v>41</v>
      </c>
      <c r="Z27" s="2" t="s">
        <v>92</v>
      </c>
      <c r="AA27" s="2" t="s">
        <v>161</v>
      </c>
      <c r="AB27" s="2" t="s">
        <v>41</v>
      </c>
      <c r="AC27" s="2" t="s">
        <v>92</v>
      </c>
      <c r="AD27" s="2" t="s">
        <v>161</v>
      </c>
      <c r="AE27" s="2" t="s">
        <v>41</v>
      </c>
      <c r="AF27" s="2" t="s">
        <v>92</v>
      </c>
      <c r="AG27" s="2" t="s">
        <v>161</v>
      </c>
      <c r="AH27" s="2" t="s">
        <v>41</v>
      </c>
      <c r="AI27" s="2" t="s">
        <v>92</v>
      </c>
      <c r="AJ27" s="2">
        <v>0</v>
      </c>
      <c r="AK27" s="2"/>
      <c r="AL27" s="2"/>
      <c r="AM27" s="2">
        <v>18</v>
      </c>
      <c r="AN27" s="2">
        <v>125</v>
      </c>
      <c r="AO27" s="2" t="s">
        <v>213</v>
      </c>
      <c r="AP27" s="2" t="s">
        <v>214</v>
      </c>
      <c r="AQ27" s="2" t="s">
        <v>161</v>
      </c>
      <c r="AR27" s="2" t="s">
        <v>161</v>
      </c>
      <c r="AS27" s="2" t="s">
        <v>41</v>
      </c>
      <c r="AT27" s="2" t="s">
        <v>161</v>
      </c>
      <c r="AU27" s="2" t="s">
        <v>161</v>
      </c>
      <c r="AV27" s="2" t="s">
        <v>41</v>
      </c>
      <c r="AW27" s="2" t="s">
        <v>161</v>
      </c>
      <c r="AX27" s="2" t="s">
        <v>161</v>
      </c>
      <c r="AY27" s="2" t="s">
        <v>41</v>
      </c>
      <c r="AZ27" s="2" t="s">
        <v>161</v>
      </c>
      <c r="BA27" s="2" t="s">
        <v>161</v>
      </c>
      <c r="BB27" s="2" t="s">
        <v>41</v>
      </c>
      <c r="BC27" s="2" t="s">
        <v>92</v>
      </c>
      <c r="BD27" s="2">
        <v>0</v>
      </c>
      <c r="BE27" s="2"/>
      <c r="BF27" s="2"/>
      <c r="BG27" s="2">
        <v>22</v>
      </c>
      <c r="BH27" s="2">
        <v>111</v>
      </c>
      <c r="BI27" s="2" t="s">
        <v>210</v>
      </c>
      <c r="BJ27" s="2" t="s">
        <v>212</v>
      </c>
      <c r="BK27" s="2" t="s">
        <v>41</v>
      </c>
      <c r="BL27" s="2">
        <v>0</v>
      </c>
      <c r="BM27" s="2">
        <v>0</v>
      </c>
      <c r="BN27" s="2" t="s">
        <v>41</v>
      </c>
      <c r="BO27" s="2" t="s">
        <v>41</v>
      </c>
      <c r="BP27" s="2">
        <v>0</v>
      </c>
      <c r="BQ27" s="2">
        <v>0</v>
      </c>
      <c r="BR27" s="2" t="s">
        <v>41</v>
      </c>
      <c r="BS27" s="2" t="s">
        <v>41</v>
      </c>
      <c r="BT27" s="2">
        <v>0</v>
      </c>
      <c r="BU27" s="2">
        <v>0</v>
      </c>
      <c r="BV27" s="2" t="s">
        <v>41</v>
      </c>
      <c r="BW27" s="2" t="s">
        <v>41</v>
      </c>
      <c r="BX27" s="2">
        <v>0</v>
      </c>
      <c r="BY27" s="2">
        <v>0</v>
      </c>
      <c r="BZ27" s="2" t="s">
        <v>41</v>
      </c>
      <c r="CA27" s="2" t="s">
        <v>92</v>
      </c>
      <c r="CB27" s="2">
        <v>0</v>
      </c>
      <c r="CC27" s="2"/>
      <c r="CD27" s="2"/>
      <c r="CE27" s="2">
        <v>12</v>
      </c>
      <c r="CF27" s="2">
        <v>185</v>
      </c>
      <c r="CG27" s="2" t="s">
        <v>166</v>
      </c>
      <c r="CH27" s="2" t="s">
        <v>167</v>
      </c>
      <c r="CI27" s="6">
        <v>260030</v>
      </c>
      <c r="CJ27" s="2">
        <v>4</v>
      </c>
      <c r="CK27" s="2">
        <v>0</v>
      </c>
      <c r="CL27" s="2">
        <v>1</v>
      </c>
      <c r="CM27" s="2">
        <v>0</v>
      </c>
      <c r="CN27" s="6">
        <v>262030</v>
      </c>
      <c r="CO27" s="2" t="s">
        <v>92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A28" s="2"/>
      <c r="B28" s="12">
        <v>24</v>
      </c>
      <c r="C28" s="12">
        <v>141</v>
      </c>
      <c r="D28" s="12" t="s">
        <v>215</v>
      </c>
      <c r="E28" s="12" t="s">
        <v>216</v>
      </c>
      <c r="F28" s="16">
        <v>47639</v>
      </c>
      <c r="G28" s="16">
        <v>51599</v>
      </c>
      <c r="H28" s="16">
        <v>68662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6">
        <v>167900</v>
      </c>
      <c r="P28" s="2"/>
      <c r="Q28" s="2"/>
      <c r="R28" s="2"/>
      <c r="S28" s="2">
        <v>18</v>
      </c>
      <c r="T28" s="2">
        <v>130</v>
      </c>
      <c r="U28" s="2" t="s">
        <v>217</v>
      </c>
      <c r="V28" s="2" t="s">
        <v>218</v>
      </c>
      <c r="W28" s="2" t="s">
        <v>92</v>
      </c>
      <c r="X28" s="2" t="s">
        <v>161</v>
      </c>
      <c r="Y28" s="2" t="s">
        <v>41</v>
      </c>
      <c r="Z28" s="2" t="s">
        <v>92</v>
      </c>
      <c r="AA28" s="2" t="s">
        <v>161</v>
      </c>
      <c r="AB28" s="2" t="s">
        <v>41</v>
      </c>
      <c r="AC28" s="2" t="s">
        <v>92</v>
      </c>
      <c r="AD28" s="2" t="s">
        <v>161</v>
      </c>
      <c r="AE28" s="2" t="s">
        <v>41</v>
      </c>
      <c r="AF28" s="2" t="s">
        <v>92</v>
      </c>
      <c r="AG28" s="2" t="s">
        <v>161</v>
      </c>
      <c r="AH28" s="2" t="s">
        <v>41</v>
      </c>
      <c r="AI28" s="2" t="s">
        <v>92</v>
      </c>
      <c r="AJ28" s="2">
        <v>0</v>
      </c>
      <c r="AK28" s="2"/>
      <c r="AL28" s="2"/>
      <c r="AM28" s="2">
        <v>18</v>
      </c>
      <c r="AN28" s="2">
        <v>130</v>
      </c>
      <c r="AO28" s="2" t="s">
        <v>217</v>
      </c>
      <c r="AP28" s="2" t="s">
        <v>219</v>
      </c>
      <c r="AQ28" s="2" t="s">
        <v>161</v>
      </c>
      <c r="AR28" s="2" t="s">
        <v>161</v>
      </c>
      <c r="AS28" s="2" t="s">
        <v>41</v>
      </c>
      <c r="AT28" s="2" t="s">
        <v>161</v>
      </c>
      <c r="AU28" s="2" t="s">
        <v>161</v>
      </c>
      <c r="AV28" s="2" t="s">
        <v>41</v>
      </c>
      <c r="AW28" s="2" t="s">
        <v>161</v>
      </c>
      <c r="AX28" s="2" t="s">
        <v>161</v>
      </c>
      <c r="AY28" s="2" t="s">
        <v>41</v>
      </c>
      <c r="AZ28" s="2" t="s">
        <v>161</v>
      </c>
      <c r="BA28" s="2" t="s">
        <v>161</v>
      </c>
      <c r="BB28" s="2" t="s">
        <v>41</v>
      </c>
      <c r="BC28" s="2" t="s">
        <v>92</v>
      </c>
      <c r="BD28" s="2">
        <v>0</v>
      </c>
      <c r="BE28" s="2"/>
      <c r="BF28" s="2"/>
      <c r="BG28" s="2">
        <v>22</v>
      </c>
      <c r="BH28" s="2">
        <v>122</v>
      </c>
      <c r="BI28" s="2" t="s">
        <v>197</v>
      </c>
      <c r="BJ28" s="2" t="s">
        <v>198</v>
      </c>
      <c r="BK28" s="2" t="s">
        <v>41</v>
      </c>
      <c r="BL28" s="2">
        <v>0</v>
      </c>
      <c r="BM28" s="2">
        <v>0</v>
      </c>
      <c r="BN28" s="2" t="s">
        <v>41</v>
      </c>
      <c r="BO28" s="2" t="s">
        <v>41</v>
      </c>
      <c r="BP28" s="2">
        <v>0</v>
      </c>
      <c r="BQ28" s="2">
        <v>0</v>
      </c>
      <c r="BR28" s="2" t="s">
        <v>41</v>
      </c>
      <c r="BS28" s="2" t="s">
        <v>41</v>
      </c>
      <c r="BT28" s="2">
        <v>0</v>
      </c>
      <c r="BU28" s="2">
        <v>0</v>
      </c>
      <c r="BV28" s="2" t="s">
        <v>41</v>
      </c>
      <c r="BW28" s="2" t="s">
        <v>41</v>
      </c>
      <c r="BX28" s="2">
        <v>0</v>
      </c>
      <c r="BY28" s="2">
        <v>0</v>
      </c>
      <c r="BZ28" s="2" t="s">
        <v>41</v>
      </c>
      <c r="CA28" s="2" t="s">
        <v>92</v>
      </c>
      <c r="CB28" s="2">
        <v>0</v>
      </c>
      <c r="CC28" s="2"/>
      <c r="CD28" s="2"/>
      <c r="CE28" s="2">
        <v>12</v>
      </c>
      <c r="CF28" s="2">
        <v>100</v>
      </c>
      <c r="CG28" s="2" t="s">
        <v>208</v>
      </c>
      <c r="CH28" s="2" t="s">
        <v>209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 t="s">
        <v>92</v>
      </c>
      <c r="CO28" s="2" t="s">
        <v>92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</row>
    <row r="29" spans="1:98" x14ac:dyDescent="0.2">
      <c r="A29" s="2"/>
      <c r="B29" s="12">
        <v>25</v>
      </c>
      <c r="C29" s="12">
        <v>146</v>
      </c>
      <c r="D29" s="12" t="s">
        <v>201</v>
      </c>
      <c r="E29" s="12" t="s">
        <v>62</v>
      </c>
      <c r="F29" s="16">
        <v>25647</v>
      </c>
      <c r="G29" s="16">
        <v>75000</v>
      </c>
      <c r="H29" s="16">
        <v>136268</v>
      </c>
      <c r="I29" s="12">
        <v>0</v>
      </c>
      <c r="J29" s="12">
        <v>0</v>
      </c>
      <c r="K29" s="12">
        <v>5</v>
      </c>
      <c r="L29" s="12">
        <v>0</v>
      </c>
      <c r="M29" s="12">
        <v>0</v>
      </c>
      <c r="N29" s="12">
        <v>80</v>
      </c>
      <c r="O29" s="16">
        <v>161915</v>
      </c>
      <c r="P29" s="2"/>
      <c r="Q29" s="2"/>
      <c r="R29" s="2"/>
      <c r="S29" s="2">
        <v>18</v>
      </c>
      <c r="T29" s="2">
        <v>139</v>
      </c>
      <c r="U29" s="2" t="s">
        <v>220</v>
      </c>
      <c r="V29" s="2" t="s">
        <v>221</v>
      </c>
      <c r="W29" s="2" t="s">
        <v>92</v>
      </c>
      <c r="X29" s="2" t="s">
        <v>161</v>
      </c>
      <c r="Y29" s="2" t="s">
        <v>41</v>
      </c>
      <c r="Z29" s="2" t="s">
        <v>92</v>
      </c>
      <c r="AA29" s="2" t="s">
        <v>161</v>
      </c>
      <c r="AB29" s="2" t="s">
        <v>41</v>
      </c>
      <c r="AC29" s="2" t="s">
        <v>92</v>
      </c>
      <c r="AD29" s="2" t="s">
        <v>161</v>
      </c>
      <c r="AE29" s="2" t="s">
        <v>41</v>
      </c>
      <c r="AF29" s="2" t="s">
        <v>92</v>
      </c>
      <c r="AG29" s="2" t="s">
        <v>161</v>
      </c>
      <c r="AH29" s="2" t="s">
        <v>41</v>
      </c>
      <c r="AI29" s="2" t="s">
        <v>92</v>
      </c>
      <c r="AJ29" s="2">
        <v>0</v>
      </c>
      <c r="AK29" s="2"/>
      <c r="AL29" s="2"/>
      <c r="AM29" s="2">
        <v>18</v>
      </c>
      <c r="AN29" s="2">
        <v>139</v>
      </c>
      <c r="AO29" s="2" t="s">
        <v>220</v>
      </c>
      <c r="AP29" s="2" t="s">
        <v>221</v>
      </c>
      <c r="AQ29" s="2" t="s">
        <v>161</v>
      </c>
      <c r="AR29" s="2" t="s">
        <v>161</v>
      </c>
      <c r="AS29" s="2" t="s">
        <v>41</v>
      </c>
      <c r="AT29" s="2" t="s">
        <v>161</v>
      </c>
      <c r="AU29" s="2" t="s">
        <v>161</v>
      </c>
      <c r="AV29" s="2" t="s">
        <v>41</v>
      </c>
      <c r="AW29" s="2" t="s">
        <v>161</v>
      </c>
      <c r="AX29" s="2" t="s">
        <v>161</v>
      </c>
      <c r="AY29" s="2" t="s">
        <v>41</v>
      </c>
      <c r="AZ29" s="2" t="s">
        <v>161</v>
      </c>
      <c r="BA29" s="2" t="s">
        <v>161</v>
      </c>
      <c r="BB29" s="2" t="s">
        <v>41</v>
      </c>
      <c r="BC29" s="2" t="s">
        <v>92</v>
      </c>
      <c r="BD29" s="2">
        <v>0</v>
      </c>
      <c r="BE29" s="2"/>
      <c r="BF29" s="2"/>
      <c r="BG29" s="2">
        <v>22</v>
      </c>
      <c r="BH29" s="2">
        <v>125</v>
      </c>
      <c r="BI29" s="2" t="s">
        <v>213</v>
      </c>
      <c r="BJ29" s="2" t="s">
        <v>214</v>
      </c>
      <c r="BK29" s="2" t="s">
        <v>41</v>
      </c>
      <c r="BL29" s="2">
        <v>0</v>
      </c>
      <c r="BM29" s="2">
        <v>0</v>
      </c>
      <c r="BN29" s="2" t="s">
        <v>41</v>
      </c>
      <c r="BO29" s="2" t="s">
        <v>41</v>
      </c>
      <c r="BP29" s="2">
        <v>0</v>
      </c>
      <c r="BQ29" s="2">
        <v>0</v>
      </c>
      <c r="BR29" s="2" t="s">
        <v>41</v>
      </c>
      <c r="BS29" s="2" t="s">
        <v>41</v>
      </c>
      <c r="BT29" s="2">
        <v>0</v>
      </c>
      <c r="BU29" s="2">
        <v>0</v>
      </c>
      <c r="BV29" s="2" t="s">
        <v>41</v>
      </c>
      <c r="BW29" s="2" t="s">
        <v>41</v>
      </c>
      <c r="BX29" s="2">
        <v>0</v>
      </c>
      <c r="BY29" s="2">
        <v>0</v>
      </c>
      <c r="BZ29" s="2" t="s">
        <v>41</v>
      </c>
      <c r="CA29" s="2" t="s">
        <v>92</v>
      </c>
      <c r="CB29" s="2">
        <v>0</v>
      </c>
      <c r="CC29" s="2"/>
      <c r="CD29" s="2"/>
      <c r="CE29" s="2">
        <v>12</v>
      </c>
      <c r="CF29" s="2">
        <v>111</v>
      </c>
      <c r="CG29" s="2" t="s">
        <v>210</v>
      </c>
      <c r="CH29" s="2" t="s">
        <v>212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 t="s">
        <v>92</v>
      </c>
      <c r="CO29" s="2" t="s">
        <v>92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</row>
    <row r="30" spans="1:98" x14ac:dyDescent="0.2">
      <c r="A30" s="2"/>
      <c r="B30" s="12">
        <v>26</v>
      </c>
      <c r="C30" s="12">
        <v>130</v>
      </c>
      <c r="D30" s="12" t="s">
        <v>217</v>
      </c>
      <c r="E30" s="12" t="s">
        <v>218</v>
      </c>
      <c r="F30" s="16">
        <v>34591</v>
      </c>
      <c r="G30" s="16">
        <v>52424</v>
      </c>
      <c r="H30" s="16">
        <v>59155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6">
        <v>146170</v>
      </c>
      <c r="P30" s="2"/>
      <c r="Q30" s="2"/>
      <c r="R30" s="2"/>
      <c r="S30" s="2">
        <v>18</v>
      </c>
      <c r="T30" s="2">
        <v>141</v>
      </c>
      <c r="U30" s="2" t="s">
        <v>215</v>
      </c>
      <c r="V30" s="2" t="s">
        <v>216</v>
      </c>
      <c r="W30" s="2" t="s">
        <v>92</v>
      </c>
      <c r="X30" s="2" t="s">
        <v>161</v>
      </c>
      <c r="Y30" s="2" t="s">
        <v>41</v>
      </c>
      <c r="Z30" s="2" t="s">
        <v>92</v>
      </c>
      <c r="AA30" s="2" t="s">
        <v>161</v>
      </c>
      <c r="AB30" s="2" t="s">
        <v>41</v>
      </c>
      <c r="AC30" s="2" t="s">
        <v>92</v>
      </c>
      <c r="AD30" s="2" t="s">
        <v>161</v>
      </c>
      <c r="AE30" s="2" t="s">
        <v>41</v>
      </c>
      <c r="AF30" s="2" t="s">
        <v>92</v>
      </c>
      <c r="AG30" s="2" t="s">
        <v>161</v>
      </c>
      <c r="AH30" s="2" t="s">
        <v>41</v>
      </c>
      <c r="AI30" s="2" t="s">
        <v>92</v>
      </c>
      <c r="AJ30" s="2">
        <v>0</v>
      </c>
      <c r="AK30" s="2"/>
      <c r="AL30" s="2"/>
      <c r="AM30" s="2">
        <v>18</v>
      </c>
      <c r="AN30" s="2">
        <v>141</v>
      </c>
      <c r="AO30" s="2" t="s">
        <v>215</v>
      </c>
      <c r="AP30" s="2" t="s">
        <v>216</v>
      </c>
      <c r="AQ30" s="2" t="s">
        <v>161</v>
      </c>
      <c r="AR30" s="2" t="s">
        <v>161</v>
      </c>
      <c r="AS30" s="2" t="s">
        <v>41</v>
      </c>
      <c r="AT30" s="2" t="s">
        <v>161</v>
      </c>
      <c r="AU30" s="2" t="s">
        <v>161</v>
      </c>
      <c r="AV30" s="2" t="s">
        <v>41</v>
      </c>
      <c r="AW30" s="2" t="s">
        <v>161</v>
      </c>
      <c r="AX30" s="2" t="s">
        <v>161</v>
      </c>
      <c r="AY30" s="2" t="s">
        <v>41</v>
      </c>
      <c r="AZ30" s="2" t="s">
        <v>161</v>
      </c>
      <c r="BA30" s="2" t="s">
        <v>161</v>
      </c>
      <c r="BB30" s="2" t="s">
        <v>41</v>
      </c>
      <c r="BC30" s="2" t="s">
        <v>92</v>
      </c>
      <c r="BD30" s="2">
        <v>0</v>
      </c>
      <c r="BE30" s="2"/>
      <c r="BF30" s="2"/>
      <c r="BG30" s="2">
        <v>22</v>
      </c>
      <c r="BH30" s="2">
        <v>130</v>
      </c>
      <c r="BI30" s="2" t="s">
        <v>217</v>
      </c>
      <c r="BJ30" s="2" t="s">
        <v>219</v>
      </c>
      <c r="BK30" s="2" t="s">
        <v>41</v>
      </c>
      <c r="BL30" s="2">
        <v>0</v>
      </c>
      <c r="BM30" s="2">
        <v>0</v>
      </c>
      <c r="BN30" s="2" t="s">
        <v>41</v>
      </c>
      <c r="BO30" s="2" t="s">
        <v>41</v>
      </c>
      <c r="BP30" s="2">
        <v>0</v>
      </c>
      <c r="BQ30" s="2">
        <v>0</v>
      </c>
      <c r="BR30" s="2" t="s">
        <v>41</v>
      </c>
      <c r="BS30" s="2" t="s">
        <v>41</v>
      </c>
      <c r="BT30" s="2">
        <v>0</v>
      </c>
      <c r="BU30" s="2">
        <v>0</v>
      </c>
      <c r="BV30" s="2" t="s">
        <v>41</v>
      </c>
      <c r="BW30" s="2" t="s">
        <v>41</v>
      </c>
      <c r="BX30" s="2">
        <v>0</v>
      </c>
      <c r="BY30" s="2">
        <v>0</v>
      </c>
      <c r="BZ30" s="2" t="s">
        <v>41</v>
      </c>
      <c r="CA30" s="2" t="s">
        <v>92</v>
      </c>
      <c r="CB30" s="2">
        <v>0</v>
      </c>
      <c r="CC30" s="2"/>
      <c r="CD30" s="2"/>
      <c r="CE30" s="2">
        <v>12</v>
      </c>
      <c r="CF30" s="2">
        <v>122</v>
      </c>
      <c r="CG30" s="2" t="s">
        <v>197</v>
      </c>
      <c r="CH30" s="2" t="s">
        <v>198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 t="s">
        <v>92</v>
      </c>
      <c r="CO30" s="2" t="s">
        <v>92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</row>
    <row r="31" spans="1:98" x14ac:dyDescent="0.2">
      <c r="A31" s="2"/>
      <c r="B31" s="12">
        <v>27</v>
      </c>
      <c r="C31" s="12">
        <v>111</v>
      </c>
      <c r="D31" s="12" t="s">
        <v>210</v>
      </c>
      <c r="E31" s="12" t="s">
        <v>222</v>
      </c>
      <c r="F31" s="16">
        <v>37467</v>
      </c>
      <c r="G31" s="16">
        <v>36738</v>
      </c>
      <c r="H31" s="16">
        <v>68662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6">
        <v>142867</v>
      </c>
      <c r="P31" s="2"/>
      <c r="Q31" s="2"/>
      <c r="R31" s="2"/>
      <c r="S31" s="2">
        <v>18</v>
      </c>
      <c r="T31" s="2">
        <v>146</v>
      </c>
      <c r="U31" s="2" t="s">
        <v>201</v>
      </c>
      <c r="V31" s="2" t="s">
        <v>62</v>
      </c>
      <c r="W31" s="2" t="s">
        <v>92</v>
      </c>
      <c r="X31" s="2" t="s">
        <v>161</v>
      </c>
      <c r="Y31" s="2" t="s">
        <v>41</v>
      </c>
      <c r="Z31" s="2" t="s">
        <v>92</v>
      </c>
      <c r="AA31" s="2" t="s">
        <v>161</v>
      </c>
      <c r="AB31" s="2" t="s">
        <v>41</v>
      </c>
      <c r="AC31" s="2" t="s">
        <v>92</v>
      </c>
      <c r="AD31" s="2" t="s">
        <v>161</v>
      </c>
      <c r="AE31" s="2" t="s">
        <v>41</v>
      </c>
      <c r="AF31" s="2" t="s">
        <v>92</v>
      </c>
      <c r="AG31" s="2" t="s">
        <v>161</v>
      </c>
      <c r="AH31" s="2" t="s">
        <v>41</v>
      </c>
      <c r="AI31" s="2" t="s">
        <v>92</v>
      </c>
      <c r="AJ31" s="2">
        <v>0</v>
      </c>
      <c r="AK31" s="2"/>
      <c r="AL31" s="2"/>
      <c r="AM31" s="2">
        <v>18</v>
      </c>
      <c r="AN31" s="2">
        <v>146</v>
      </c>
      <c r="AO31" s="2" t="s">
        <v>201</v>
      </c>
      <c r="AP31" s="2" t="s">
        <v>62</v>
      </c>
      <c r="AQ31" s="2" t="s">
        <v>161</v>
      </c>
      <c r="AR31" s="2" t="s">
        <v>161</v>
      </c>
      <c r="AS31" s="2" t="s">
        <v>41</v>
      </c>
      <c r="AT31" s="2" t="s">
        <v>161</v>
      </c>
      <c r="AU31" s="2" t="s">
        <v>161</v>
      </c>
      <c r="AV31" s="2" t="s">
        <v>41</v>
      </c>
      <c r="AW31" s="2" t="s">
        <v>161</v>
      </c>
      <c r="AX31" s="2" t="s">
        <v>161</v>
      </c>
      <c r="AY31" s="2" t="s">
        <v>41</v>
      </c>
      <c r="AZ31" s="2" t="s">
        <v>161</v>
      </c>
      <c r="BA31" s="2" t="s">
        <v>161</v>
      </c>
      <c r="BB31" s="2" t="s">
        <v>41</v>
      </c>
      <c r="BC31" s="2" t="s">
        <v>92</v>
      </c>
      <c r="BD31" s="2">
        <v>0</v>
      </c>
      <c r="BE31" s="2"/>
      <c r="BF31" s="2"/>
      <c r="BG31" s="2">
        <v>22</v>
      </c>
      <c r="BH31" s="2">
        <v>139</v>
      </c>
      <c r="BI31" s="2" t="s">
        <v>220</v>
      </c>
      <c r="BJ31" s="2" t="s">
        <v>221</v>
      </c>
      <c r="BK31" s="2" t="s">
        <v>41</v>
      </c>
      <c r="BL31" s="2">
        <v>0</v>
      </c>
      <c r="BM31" s="2">
        <v>0</v>
      </c>
      <c r="BN31" s="2" t="s">
        <v>41</v>
      </c>
      <c r="BO31" s="2" t="s">
        <v>41</v>
      </c>
      <c r="BP31" s="2">
        <v>0</v>
      </c>
      <c r="BQ31" s="2">
        <v>0</v>
      </c>
      <c r="BR31" s="2" t="s">
        <v>41</v>
      </c>
      <c r="BS31" s="2" t="s">
        <v>41</v>
      </c>
      <c r="BT31" s="2">
        <v>0</v>
      </c>
      <c r="BU31" s="2">
        <v>0</v>
      </c>
      <c r="BV31" s="2" t="s">
        <v>41</v>
      </c>
      <c r="BW31" s="2" t="s">
        <v>41</v>
      </c>
      <c r="BX31" s="2">
        <v>0</v>
      </c>
      <c r="BY31" s="2">
        <v>0</v>
      </c>
      <c r="BZ31" s="2" t="s">
        <v>41</v>
      </c>
      <c r="CA31" s="2" t="s">
        <v>92</v>
      </c>
      <c r="CB31" s="2">
        <v>0</v>
      </c>
      <c r="CC31" s="2"/>
      <c r="CD31" s="2"/>
      <c r="CE31" s="2">
        <v>12</v>
      </c>
      <c r="CF31" s="2">
        <v>130</v>
      </c>
      <c r="CG31" s="2" t="s">
        <v>217</v>
      </c>
      <c r="CH31" s="2" t="s">
        <v>219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 t="s">
        <v>92</v>
      </c>
      <c r="CO31" s="2" t="s">
        <v>92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</row>
    <row r="32" spans="1:98" x14ac:dyDescent="0.2">
      <c r="A32" s="2"/>
      <c r="B32" s="12">
        <v>28</v>
      </c>
      <c r="C32" s="12">
        <v>100</v>
      </c>
      <c r="D32" s="12" t="s">
        <v>208</v>
      </c>
      <c r="E32" s="12" t="s">
        <v>209</v>
      </c>
      <c r="F32" s="16">
        <v>71721</v>
      </c>
      <c r="G32" s="16">
        <v>14860</v>
      </c>
      <c r="H32" s="16">
        <v>46479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6">
        <v>133060</v>
      </c>
      <c r="P32" s="2"/>
      <c r="Q32" s="2"/>
      <c r="R32" s="2"/>
      <c r="S32" s="2">
        <v>18</v>
      </c>
      <c r="T32" s="2">
        <v>171</v>
      </c>
      <c r="U32" s="2" t="s">
        <v>223</v>
      </c>
      <c r="V32" s="2" t="s">
        <v>224</v>
      </c>
      <c r="W32" s="2" t="s">
        <v>92</v>
      </c>
      <c r="X32" s="2" t="s">
        <v>161</v>
      </c>
      <c r="Y32" s="2" t="s">
        <v>41</v>
      </c>
      <c r="Z32" s="2" t="s">
        <v>92</v>
      </c>
      <c r="AA32" s="2" t="s">
        <v>161</v>
      </c>
      <c r="AB32" s="2" t="s">
        <v>41</v>
      </c>
      <c r="AC32" s="2" t="s">
        <v>92</v>
      </c>
      <c r="AD32" s="2" t="s">
        <v>161</v>
      </c>
      <c r="AE32" s="2" t="s">
        <v>41</v>
      </c>
      <c r="AF32" s="2" t="s">
        <v>92</v>
      </c>
      <c r="AG32" s="2" t="s">
        <v>161</v>
      </c>
      <c r="AH32" s="2" t="s">
        <v>41</v>
      </c>
      <c r="AI32" s="2" t="s">
        <v>92</v>
      </c>
      <c r="AJ32" s="2">
        <v>0</v>
      </c>
      <c r="AK32" s="2"/>
      <c r="AL32" s="2"/>
      <c r="AM32" s="2">
        <v>18</v>
      </c>
      <c r="AN32" s="2">
        <v>171</v>
      </c>
      <c r="AO32" s="2" t="s">
        <v>223</v>
      </c>
      <c r="AP32" s="2" t="s">
        <v>224</v>
      </c>
      <c r="AQ32" s="2" t="s">
        <v>161</v>
      </c>
      <c r="AR32" s="2" t="s">
        <v>161</v>
      </c>
      <c r="AS32" s="2" t="s">
        <v>41</v>
      </c>
      <c r="AT32" s="2" t="s">
        <v>161</v>
      </c>
      <c r="AU32" s="2" t="s">
        <v>161</v>
      </c>
      <c r="AV32" s="2" t="s">
        <v>41</v>
      </c>
      <c r="AW32" s="2" t="s">
        <v>161</v>
      </c>
      <c r="AX32" s="2" t="s">
        <v>161</v>
      </c>
      <c r="AY32" s="2" t="s">
        <v>41</v>
      </c>
      <c r="AZ32" s="2" t="s">
        <v>161</v>
      </c>
      <c r="BA32" s="2" t="s">
        <v>161</v>
      </c>
      <c r="BB32" s="2" t="s">
        <v>41</v>
      </c>
      <c r="BC32" s="2" t="s">
        <v>92</v>
      </c>
      <c r="BD32" s="2">
        <v>0</v>
      </c>
      <c r="BE32" s="2"/>
      <c r="BF32" s="2"/>
      <c r="BG32" s="2">
        <v>22</v>
      </c>
      <c r="BH32" s="2">
        <v>141</v>
      </c>
      <c r="BI32" s="2" t="s">
        <v>215</v>
      </c>
      <c r="BJ32" s="2" t="s">
        <v>216</v>
      </c>
      <c r="BK32" s="2" t="s">
        <v>41</v>
      </c>
      <c r="BL32" s="2">
        <v>0</v>
      </c>
      <c r="BM32" s="2">
        <v>0</v>
      </c>
      <c r="BN32" s="2" t="s">
        <v>41</v>
      </c>
      <c r="BO32" s="2" t="s">
        <v>41</v>
      </c>
      <c r="BP32" s="2">
        <v>0</v>
      </c>
      <c r="BQ32" s="2">
        <v>0</v>
      </c>
      <c r="BR32" s="2" t="s">
        <v>41</v>
      </c>
      <c r="BS32" s="2" t="s">
        <v>41</v>
      </c>
      <c r="BT32" s="2">
        <v>0</v>
      </c>
      <c r="BU32" s="2">
        <v>0</v>
      </c>
      <c r="BV32" s="2" t="s">
        <v>41</v>
      </c>
      <c r="BW32" s="2" t="s">
        <v>41</v>
      </c>
      <c r="BX32" s="2">
        <v>0</v>
      </c>
      <c r="BY32" s="2">
        <v>0</v>
      </c>
      <c r="BZ32" s="2" t="s">
        <v>41</v>
      </c>
      <c r="CA32" s="2" t="s">
        <v>92</v>
      </c>
      <c r="CB32" s="2">
        <v>0</v>
      </c>
      <c r="CC32" s="2"/>
      <c r="CD32" s="2"/>
      <c r="CE32" s="2">
        <v>12</v>
      </c>
      <c r="CF32" s="2">
        <v>139</v>
      </c>
      <c r="CG32" s="2" t="s">
        <v>220</v>
      </c>
      <c r="CH32" s="2" t="s">
        <v>221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 t="s">
        <v>92</v>
      </c>
      <c r="CO32" s="2" t="s">
        <v>92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</row>
    <row r="33" spans="1:98" x14ac:dyDescent="0.2">
      <c r="A33" s="2"/>
      <c r="B33" s="12">
        <v>29</v>
      </c>
      <c r="C33" s="12">
        <v>139</v>
      </c>
      <c r="D33" s="12" t="s">
        <v>220</v>
      </c>
      <c r="E33" s="12" t="s">
        <v>221</v>
      </c>
      <c r="F33" s="16">
        <v>39026</v>
      </c>
      <c r="G33" s="16">
        <v>40866</v>
      </c>
      <c r="H33" s="16">
        <v>34859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6">
        <v>114751</v>
      </c>
      <c r="P33" s="2"/>
      <c r="Q33" s="2"/>
      <c r="R33" s="2"/>
      <c r="S33" s="2">
        <v>18</v>
      </c>
      <c r="T33" s="2">
        <v>186</v>
      </c>
      <c r="U33" s="2" t="s">
        <v>195</v>
      </c>
      <c r="V33" s="2" t="s">
        <v>196</v>
      </c>
      <c r="W33" s="2" t="s">
        <v>92</v>
      </c>
      <c r="X33" s="2" t="s">
        <v>161</v>
      </c>
      <c r="Y33" s="2" t="s">
        <v>41</v>
      </c>
      <c r="Z33" s="2" t="s">
        <v>92</v>
      </c>
      <c r="AA33" s="2" t="s">
        <v>161</v>
      </c>
      <c r="AB33" s="2" t="s">
        <v>41</v>
      </c>
      <c r="AC33" s="2" t="s">
        <v>92</v>
      </c>
      <c r="AD33" s="2" t="s">
        <v>161</v>
      </c>
      <c r="AE33" s="2" t="s">
        <v>41</v>
      </c>
      <c r="AF33" s="2" t="s">
        <v>92</v>
      </c>
      <c r="AG33" s="2" t="s">
        <v>161</v>
      </c>
      <c r="AH33" s="2" t="s">
        <v>41</v>
      </c>
      <c r="AI33" s="2" t="s">
        <v>92</v>
      </c>
      <c r="AJ33" s="2">
        <v>0</v>
      </c>
      <c r="AK33" s="2"/>
      <c r="AL33" s="2"/>
      <c r="AM33" s="2">
        <v>18</v>
      </c>
      <c r="AN33" s="2">
        <v>186</v>
      </c>
      <c r="AO33" s="2" t="s">
        <v>195</v>
      </c>
      <c r="AP33" s="2" t="s">
        <v>196</v>
      </c>
      <c r="AQ33" s="2" t="s">
        <v>161</v>
      </c>
      <c r="AR33" s="2" t="s">
        <v>161</v>
      </c>
      <c r="AS33" s="2" t="s">
        <v>41</v>
      </c>
      <c r="AT33" s="2" t="s">
        <v>161</v>
      </c>
      <c r="AU33" s="2" t="s">
        <v>161</v>
      </c>
      <c r="AV33" s="2" t="s">
        <v>41</v>
      </c>
      <c r="AW33" s="2" t="s">
        <v>161</v>
      </c>
      <c r="AX33" s="2" t="s">
        <v>161</v>
      </c>
      <c r="AY33" s="2" t="s">
        <v>41</v>
      </c>
      <c r="AZ33" s="2" t="s">
        <v>161</v>
      </c>
      <c r="BA33" s="2" t="s">
        <v>161</v>
      </c>
      <c r="BB33" s="2" t="s">
        <v>41</v>
      </c>
      <c r="BC33" s="2" t="s">
        <v>92</v>
      </c>
      <c r="BD33" s="2">
        <v>0</v>
      </c>
      <c r="BE33" s="2"/>
      <c r="BF33" s="2"/>
      <c r="BG33" s="2">
        <v>22</v>
      </c>
      <c r="BH33" s="2">
        <v>171</v>
      </c>
      <c r="BI33" s="2" t="s">
        <v>223</v>
      </c>
      <c r="BJ33" s="2" t="s">
        <v>224</v>
      </c>
      <c r="BK33" s="2" t="s">
        <v>41</v>
      </c>
      <c r="BL33" s="2">
        <v>0</v>
      </c>
      <c r="BM33" s="2">
        <v>0</v>
      </c>
      <c r="BN33" s="2" t="s">
        <v>41</v>
      </c>
      <c r="BO33" s="2" t="s">
        <v>41</v>
      </c>
      <c r="BP33" s="2">
        <v>0</v>
      </c>
      <c r="BQ33" s="2">
        <v>0</v>
      </c>
      <c r="BR33" s="2" t="s">
        <v>41</v>
      </c>
      <c r="BS33" s="2" t="s">
        <v>41</v>
      </c>
      <c r="BT33" s="2">
        <v>0</v>
      </c>
      <c r="BU33" s="2">
        <v>0</v>
      </c>
      <c r="BV33" s="2" t="s">
        <v>41</v>
      </c>
      <c r="BW33" s="2" t="s">
        <v>41</v>
      </c>
      <c r="BX33" s="2">
        <v>0</v>
      </c>
      <c r="BY33" s="2">
        <v>0</v>
      </c>
      <c r="BZ33" s="2" t="s">
        <v>41</v>
      </c>
      <c r="CA33" s="2" t="s">
        <v>92</v>
      </c>
      <c r="CB33" s="2">
        <v>0</v>
      </c>
      <c r="CC33" s="2"/>
      <c r="CD33" s="2"/>
      <c r="CE33" s="2">
        <v>12</v>
      </c>
      <c r="CF33" s="2">
        <v>141</v>
      </c>
      <c r="CG33" s="2" t="s">
        <v>215</v>
      </c>
      <c r="CH33" s="2" t="s">
        <v>216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 t="s">
        <v>92</v>
      </c>
      <c r="CO33" s="2" t="s">
        <v>92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</row>
    <row r="34" spans="1:98" x14ac:dyDescent="0.2">
      <c r="A34" s="2"/>
      <c r="B34" s="12">
        <v>30</v>
      </c>
      <c r="C34" s="12">
        <v>113</v>
      </c>
      <c r="D34" s="12" t="s">
        <v>199</v>
      </c>
      <c r="E34" s="12" t="s">
        <v>200</v>
      </c>
      <c r="F34" s="16">
        <v>18843</v>
      </c>
      <c r="G34" s="16">
        <v>56552</v>
      </c>
      <c r="H34" s="16">
        <v>84507</v>
      </c>
      <c r="I34" s="12">
        <v>0</v>
      </c>
      <c r="J34" s="12">
        <v>0</v>
      </c>
      <c r="K34" s="12">
        <v>5</v>
      </c>
      <c r="L34" s="12">
        <v>0</v>
      </c>
      <c r="M34" s="12">
        <v>0</v>
      </c>
      <c r="N34" s="12">
        <v>100</v>
      </c>
      <c r="O34" s="16">
        <v>64902</v>
      </c>
      <c r="P34" s="2"/>
      <c r="Q34" s="2"/>
      <c r="R34" s="2"/>
      <c r="S34" s="2">
        <v>18</v>
      </c>
      <c r="T34" s="2">
        <v>188</v>
      </c>
      <c r="U34" s="2" t="s">
        <v>206</v>
      </c>
      <c r="V34" s="2" t="s">
        <v>207</v>
      </c>
      <c r="W34" s="2" t="s">
        <v>92</v>
      </c>
      <c r="X34" s="2" t="s">
        <v>161</v>
      </c>
      <c r="Y34" s="2" t="s">
        <v>41</v>
      </c>
      <c r="Z34" s="2" t="s">
        <v>92</v>
      </c>
      <c r="AA34" s="2" t="s">
        <v>161</v>
      </c>
      <c r="AB34" s="2" t="s">
        <v>41</v>
      </c>
      <c r="AC34" s="2" t="s">
        <v>92</v>
      </c>
      <c r="AD34" s="2" t="s">
        <v>161</v>
      </c>
      <c r="AE34" s="2" t="s">
        <v>41</v>
      </c>
      <c r="AF34" s="2" t="s">
        <v>92</v>
      </c>
      <c r="AG34" s="2" t="s">
        <v>161</v>
      </c>
      <c r="AH34" s="2" t="s">
        <v>41</v>
      </c>
      <c r="AI34" s="2" t="s">
        <v>92</v>
      </c>
      <c r="AJ34" s="2">
        <v>0</v>
      </c>
      <c r="AK34" s="2"/>
      <c r="AL34" s="2"/>
      <c r="AM34" s="2">
        <v>18</v>
      </c>
      <c r="AN34" s="2">
        <v>188</v>
      </c>
      <c r="AO34" s="2" t="s">
        <v>206</v>
      </c>
      <c r="AP34" s="2" t="s">
        <v>207</v>
      </c>
      <c r="AQ34" s="2" t="s">
        <v>161</v>
      </c>
      <c r="AR34" s="2" t="s">
        <v>161</v>
      </c>
      <c r="AS34" s="2" t="s">
        <v>41</v>
      </c>
      <c r="AT34" s="2" t="s">
        <v>161</v>
      </c>
      <c r="AU34" s="2" t="s">
        <v>161</v>
      </c>
      <c r="AV34" s="2" t="s">
        <v>41</v>
      </c>
      <c r="AW34" s="2" t="s">
        <v>161</v>
      </c>
      <c r="AX34" s="2" t="s">
        <v>161</v>
      </c>
      <c r="AY34" s="2" t="s">
        <v>41</v>
      </c>
      <c r="AZ34" s="2" t="s">
        <v>161</v>
      </c>
      <c r="BA34" s="2" t="s">
        <v>161</v>
      </c>
      <c r="BB34" s="2" t="s">
        <v>41</v>
      </c>
      <c r="BC34" s="2" t="s">
        <v>92</v>
      </c>
      <c r="BD34" s="2">
        <v>0</v>
      </c>
      <c r="BE34" s="2"/>
      <c r="BF34" s="2"/>
      <c r="BG34" s="2">
        <v>22</v>
      </c>
      <c r="BH34" s="2">
        <v>188</v>
      </c>
      <c r="BI34" s="2" t="s">
        <v>206</v>
      </c>
      <c r="BJ34" s="2" t="s">
        <v>207</v>
      </c>
      <c r="BK34" s="2" t="s">
        <v>41</v>
      </c>
      <c r="BL34" s="2">
        <v>0</v>
      </c>
      <c r="BM34" s="2">
        <v>0</v>
      </c>
      <c r="BN34" s="2" t="s">
        <v>41</v>
      </c>
      <c r="BO34" s="2" t="s">
        <v>41</v>
      </c>
      <c r="BP34" s="2">
        <v>0</v>
      </c>
      <c r="BQ34" s="2">
        <v>0</v>
      </c>
      <c r="BR34" s="2" t="s">
        <v>41</v>
      </c>
      <c r="BS34" s="2" t="s">
        <v>41</v>
      </c>
      <c r="BT34" s="2">
        <v>0</v>
      </c>
      <c r="BU34" s="2">
        <v>0</v>
      </c>
      <c r="BV34" s="2" t="s">
        <v>41</v>
      </c>
      <c r="BW34" s="2" t="s">
        <v>41</v>
      </c>
      <c r="BX34" s="2">
        <v>0</v>
      </c>
      <c r="BY34" s="2">
        <v>0</v>
      </c>
      <c r="BZ34" s="2" t="s">
        <v>41</v>
      </c>
      <c r="CA34" s="2" t="s">
        <v>92</v>
      </c>
      <c r="CB34" s="2">
        <v>0</v>
      </c>
      <c r="CC34" s="2"/>
      <c r="CD34" s="2"/>
      <c r="CE34" s="2">
        <v>12</v>
      </c>
      <c r="CF34" s="2">
        <v>171</v>
      </c>
      <c r="CG34" s="2" t="s">
        <v>223</v>
      </c>
      <c r="CH34" s="2" t="s">
        <v>224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 t="s">
        <v>92</v>
      </c>
      <c r="CO34" s="2" t="s">
        <v>92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</row>
    <row r="35" spans="1:98" x14ac:dyDescent="0.2">
      <c r="A35" s="2"/>
      <c r="B35" s="12">
        <v>31</v>
      </c>
      <c r="C35" s="12">
        <v>171</v>
      </c>
      <c r="D35" s="12" t="s">
        <v>223</v>
      </c>
      <c r="E35" s="12" t="s">
        <v>224</v>
      </c>
      <c r="F35" s="12">
        <v>0</v>
      </c>
      <c r="G35" s="16">
        <v>12384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6">
        <v>12384</v>
      </c>
      <c r="P35" s="2"/>
      <c r="Q35" s="2"/>
      <c r="R35" s="2"/>
      <c r="S35" s="2">
        <v>18</v>
      </c>
      <c r="T35" s="2">
        <v>197</v>
      </c>
      <c r="U35" s="2" t="s">
        <v>184</v>
      </c>
      <c r="V35" s="2" t="s">
        <v>185</v>
      </c>
      <c r="W35" s="2" t="s">
        <v>92</v>
      </c>
      <c r="X35" s="2" t="s">
        <v>161</v>
      </c>
      <c r="Y35" s="2" t="s">
        <v>41</v>
      </c>
      <c r="Z35" s="2" t="s">
        <v>92</v>
      </c>
      <c r="AA35" s="2" t="s">
        <v>161</v>
      </c>
      <c r="AB35" s="2" t="s">
        <v>41</v>
      </c>
      <c r="AC35" s="2" t="s">
        <v>92</v>
      </c>
      <c r="AD35" s="2" t="s">
        <v>161</v>
      </c>
      <c r="AE35" s="2" t="s">
        <v>41</v>
      </c>
      <c r="AF35" s="2" t="s">
        <v>92</v>
      </c>
      <c r="AG35" s="2" t="s">
        <v>161</v>
      </c>
      <c r="AH35" s="2" t="s">
        <v>41</v>
      </c>
      <c r="AI35" s="2" t="s">
        <v>92</v>
      </c>
      <c r="AJ35" s="2">
        <v>0</v>
      </c>
      <c r="AK35" s="2"/>
      <c r="AL35" s="2"/>
      <c r="AM35" s="2">
        <v>18</v>
      </c>
      <c r="AN35" s="2">
        <v>197</v>
      </c>
      <c r="AO35" s="2" t="s">
        <v>184</v>
      </c>
      <c r="AP35" s="2" t="s">
        <v>185</v>
      </c>
      <c r="AQ35" s="2" t="s">
        <v>161</v>
      </c>
      <c r="AR35" s="2" t="s">
        <v>161</v>
      </c>
      <c r="AS35" s="2" t="s">
        <v>41</v>
      </c>
      <c r="AT35" s="2" t="s">
        <v>161</v>
      </c>
      <c r="AU35" s="2" t="s">
        <v>161</v>
      </c>
      <c r="AV35" s="2" t="s">
        <v>41</v>
      </c>
      <c r="AW35" s="2" t="s">
        <v>161</v>
      </c>
      <c r="AX35" s="2" t="s">
        <v>161</v>
      </c>
      <c r="AY35" s="2" t="s">
        <v>41</v>
      </c>
      <c r="AZ35" s="2" t="s">
        <v>161</v>
      </c>
      <c r="BA35" s="2" t="s">
        <v>161</v>
      </c>
      <c r="BB35" s="2" t="s">
        <v>41</v>
      </c>
      <c r="BC35" s="2" t="s">
        <v>92</v>
      </c>
      <c r="BD35" s="2">
        <v>0</v>
      </c>
      <c r="BE35" s="2"/>
      <c r="BF35" s="2"/>
      <c r="BG35" s="2">
        <v>22</v>
      </c>
      <c r="BH35" s="2">
        <v>197</v>
      </c>
      <c r="BI35" s="2" t="s">
        <v>184</v>
      </c>
      <c r="BJ35" s="2" t="s">
        <v>185</v>
      </c>
      <c r="BK35" s="2" t="s">
        <v>41</v>
      </c>
      <c r="BL35" s="2">
        <v>0</v>
      </c>
      <c r="BM35" s="2">
        <v>0</v>
      </c>
      <c r="BN35" s="2" t="s">
        <v>41</v>
      </c>
      <c r="BO35" s="2" t="s">
        <v>41</v>
      </c>
      <c r="BP35" s="2">
        <v>0</v>
      </c>
      <c r="BQ35" s="2">
        <v>0</v>
      </c>
      <c r="BR35" s="2" t="s">
        <v>41</v>
      </c>
      <c r="BS35" s="2" t="s">
        <v>41</v>
      </c>
      <c r="BT35" s="2">
        <v>0</v>
      </c>
      <c r="BU35" s="2">
        <v>0</v>
      </c>
      <c r="BV35" s="2" t="s">
        <v>41</v>
      </c>
      <c r="BW35" s="2" t="s">
        <v>41</v>
      </c>
      <c r="BX35" s="2">
        <v>0</v>
      </c>
      <c r="BY35" s="2">
        <v>0</v>
      </c>
      <c r="BZ35" s="2" t="s">
        <v>41</v>
      </c>
      <c r="CA35" s="2" t="s">
        <v>92</v>
      </c>
      <c r="CB35" s="2">
        <v>0</v>
      </c>
      <c r="CC35" s="2"/>
      <c r="CD35" s="2"/>
      <c r="CE35" s="2">
        <v>12</v>
      </c>
      <c r="CF35" s="2">
        <v>188</v>
      </c>
      <c r="CG35" s="2" t="s">
        <v>206</v>
      </c>
      <c r="CH35" s="2" t="s">
        <v>207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 t="s">
        <v>92</v>
      </c>
      <c r="CO35" s="2" t="s">
        <v>92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</row>
    <row r="36" spans="1:98" x14ac:dyDescent="0.2">
      <c r="A36" s="2"/>
      <c r="B36" s="13">
        <v>32</v>
      </c>
      <c r="C36" s="13">
        <v>143</v>
      </c>
      <c r="D36" s="13" t="s">
        <v>225</v>
      </c>
      <c r="E36" s="13" t="s">
        <v>226</v>
      </c>
      <c r="F36" s="17">
        <v>33774</v>
      </c>
      <c r="G36" s="17">
        <v>40866</v>
      </c>
      <c r="H36" s="17">
        <v>22183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100</v>
      </c>
      <c r="O36" s="17">
        <v>96823</v>
      </c>
      <c r="P36" s="2"/>
      <c r="Q36" s="2"/>
      <c r="R36" s="2"/>
      <c r="S36" s="2">
        <v>18</v>
      </c>
      <c r="T36" s="2">
        <v>143</v>
      </c>
      <c r="U36" s="2" t="s">
        <v>225</v>
      </c>
      <c r="V36" s="2" t="s">
        <v>226</v>
      </c>
      <c r="W36" s="2" t="s">
        <v>92</v>
      </c>
      <c r="X36" s="2" t="s">
        <v>161</v>
      </c>
      <c r="Y36" s="2" t="s">
        <v>41</v>
      </c>
      <c r="Z36" s="2" t="s">
        <v>92</v>
      </c>
      <c r="AA36" s="2" t="s">
        <v>161</v>
      </c>
      <c r="AB36" s="2" t="s">
        <v>41</v>
      </c>
      <c r="AC36" s="2" t="s">
        <v>92</v>
      </c>
      <c r="AD36" s="2" t="s">
        <v>161</v>
      </c>
      <c r="AE36" s="2" t="s">
        <v>41</v>
      </c>
      <c r="AF36" s="2" t="s">
        <v>92</v>
      </c>
      <c r="AG36" s="2" t="s">
        <v>161</v>
      </c>
      <c r="AH36" s="2" t="s">
        <v>41</v>
      </c>
      <c r="AI36" s="2" t="s">
        <v>92</v>
      </c>
      <c r="AJ36" s="2">
        <v>0</v>
      </c>
      <c r="AK36" s="2"/>
      <c r="AL36" s="2"/>
      <c r="AM36" s="2">
        <v>18</v>
      </c>
      <c r="AN36" s="2">
        <v>143</v>
      </c>
      <c r="AO36" s="2" t="s">
        <v>225</v>
      </c>
      <c r="AP36" s="2" t="s">
        <v>226</v>
      </c>
      <c r="AQ36" s="2" t="s">
        <v>161</v>
      </c>
      <c r="AR36" s="2" t="s">
        <v>161</v>
      </c>
      <c r="AS36" s="2" t="s">
        <v>41</v>
      </c>
      <c r="AT36" s="2" t="s">
        <v>161</v>
      </c>
      <c r="AU36" s="2" t="s">
        <v>161</v>
      </c>
      <c r="AV36" s="2" t="s">
        <v>41</v>
      </c>
      <c r="AW36" s="2" t="s">
        <v>161</v>
      </c>
      <c r="AX36" s="2" t="s">
        <v>161</v>
      </c>
      <c r="AY36" s="2" t="s">
        <v>41</v>
      </c>
      <c r="AZ36" s="2" t="s">
        <v>161</v>
      </c>
      <c r="BA36" s="2" t="s">
        <v>161</v>
      </c>
      <c r="BB36" s="2" t="s">
        <v>41</v>
      </c>
      <c r="BC36" s="2" t="s">
        <v>92</v>
      </c>
      <c r="BD36" s="2">
        <v>0</v>
      </c>
      <c r="BE36" s="2"/>
      <c r="BF36" s="2"/>
      <c r="BG36" s="2">
        <v>22</v>
      </c>
      <c r="BH36" s="2">
        <v>143</v>
      </c>
      <c r="BI36" s="2" t="s">
        <v>225</v>
      </c>
      <c r="BJ36" s="2" t="s">
        <v>226</v>
      </c>
      <c r="BK36" s="2" t="s">
        <v>41</v>
      </c>
      <c r="BL36" s="2">
        <v>0</v>
      </c>
      <c r="BM36" s="2">
        <v>0</v>
      </c>
      <c r="BN36" s="2" t="s">
        <v>41</v>
      </c>
      <c r="BO36" s="2" t="s">
        <v>41</v>
      </c>
      <c r="BP36" s="2">
        <v>0</v>
      </c>
      <c r="BQ36" s="2">
        <v>0</v>
      </c>
      <c r="BR36" s="2" t="s">
        <v>41</v>
      </c>
      <c r="BS36" s="2" t="s">
        <v>41</v>
      </c>
      <c r="BT36" s="2">
        <v>0</v>
      </c>
      <c r="BU36" s="2">
        <v>0</v>
      </c>
      <c r="BV36" s="2" t="s">
        <v>41</v>
      </c>
      <c r="BW36" s="2" t="s">
        <v>41</v>
      </c>
      <c r="BX36" s="2">
        <v>0</v>
      </c>
      <c r="BY36" s="2">
        <v>0</v>
      </c>
      <c r="BZ36" s="2" t="s">
        <v>41</v>
      </c>
      <c r="CA36" s="2" t="s">
        <v>92</v>
      </c>
      <c r="CB36" s="2">
        <v>0</v>
      </c>
      <c r="CC36" s="2"/>
      <c r="CD36" s="2"/>
      <c r="CE36" s="2">
        <v>12</v>
      </c>
      <c r="CF36" s="2">
        <v>143</v>
      </c>
      <c r="CG36" s="2" t="s">
        <v>225</v>
      </c>
      <c r="CH36" s="2" t="s">
        <v>226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 t="s">
        <v>92</v>
      </c>
      <c r="CO36" s="2" t="s">
        <v>92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</row>
    <row r="37" spans="1:9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A163-2860-4776-8162-1C930DC7477B}">
  <dimension ref="B4:P21"/>
  <sheetViews>
    <sheetView topLeftCell="A3" zoomScale="60" workbookViewId="0">
      <selection activeCell="C15" sqref="C15"/>
    </sheetView>
  </sheetViews>
  <sheetFormatPr baseColWidth="10" defaultColWidth="11.5" defaultRowHeight="15" x14ac:dyDescent="0.2"/>
  <cols>
    <col min="3" max="3" width="14" customWidth="1"/>
    <col min="4" max="4" width="17.6640625" customWidth="1"/>
    <col min="5" max="5" width="33" bestFit="1" customWidth="1"/>
    <col min="12" max="12" width="16.5" customWidth="1"/>
    <col min="13" max="13" width="15.5" customWidth="1"/>
    <col min="15" max="15" width="18.5" customWidth="1"/>
  </cols>
  <sheetData>
    <row r="4" spans="2:16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6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16" x14ac:dyDescent="0.2">
      <c r="B6" s="2"/>
      <c r="C6" s="5" t="s">
        <v>227</v>
      </c>
      <c r="D6" s="5" t="s">
        <v>228</v>
      </c>
      <c r="E6" s="5" t="s">
        <v>5</v>
      </c>
      <c r="F6" s="5" t="s">
        <v>229</v>
      </c>
      <c r="G6" s="5" t="s">
        <v>230</v>
      </c>
      <c r="H6" s="5" t="s">
        <v>231</v>
      </c>
      <c r="I6" s="5" t="s">
        <v>105</v>
      </c>
      <c r="J6" s="5" t="s">
        <v>232</v>
      </c>
      <c r="K6" s="5" t="s">
        <v>233</v>
      </c>
      <c r="L6" s="5" t="s">
        <v>107</v>
      </c>
      <c r="M6" s="5" t="s">
        <v>234</v>
      </c>
      <c r="N6" s="5" t="s">
        <v>235</v>
      </c>
      <c r="O6" s="5" t="s">
        <v>236</v>
      </c>
    </row>
    <row r="7" spans="2:16" x14ac:dyDescent="0.2">
      <c r="B7" s="2"/>
      <c r="C7" s="2" t="s">
        <v>237</v>
      </c>
      <c r="D7" s="2">
        <v>133</v>
      </c>
      <c r="E7" s="2" t="s">
        <v>238</v>
      </c>
      <c r="F7" s="2">
        <v>75</v>
      </c>
      <c r="G7" s="6">
        <v>92065</v>
      </c>
      <c r="H7" s="6">
        <v>82095</v>
      </c>
      <c r="I7" s="2">
        <v>0</v>
      </c>
      <c r="J7" s="2" t="s">
        <v>205</v>
      </c>
      <c r="K7" s="2">
        <v>5</v>
      </c>
      <c r="L7" s="6">
        <v>0</v>
      </c>
      <c r="M7" s="2">
        <v>0</v>
      </c>
      <c r="N7" s="6">
        <v>70</v>
      </c>
      <c r="O7" s="6">
        <v>187910</v>
      </c>
    </row>
    <row r="8" spans="2:16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6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2:16" x14ac:dyDescent="0.2">
      <c r="B10" s="2"/>
      <c r="C10" s="5" t="s">
        <v>239</v>
      </c>
      <c r="D10" s="5" t="s">
        <v>228</v>
      </c>
      <c r="E10" s="5" t="s">
        <v>5</v>
      </c>
      <c r="F10" s="5" t="s">
        <v>229</v>
      </c>
      <c r="G10" s="5" t="s">
        <v>230</v>
      </c>
      <c r="H10" s="5" t="s">
        <v>231</v>
      </c>
      <c r="I10" s="5" t="s">
        <v>105</v>
      </c>
      <c r="J10" s="5" t="s">
        <v>232</v>
      </c>
      <c r="K10" s="5" t="s">
        <v>233</v>
      </c>
      <c r="L10" s="5" t="s">
        <v>107</v>
      </c>
      <c r="M10" s="5" t="s">
        <v>234</v>
      </c>
      <c r="N10" s="5" t="s">
        <v>235</v>
      </c>
      <c r="O10" s="5" t="s">
        <v>236</v>
      </c>
      <c r="P10" s="2"/>
    </row>
    <row r="11" spans="2:16" x14ac:dyDescent="0.2">
      <c r="B11" s="2"/>
      <c r="C11" s="2" t="s">
        <v>240</v>
      </c>
      <c r="D11" s="2">
        <v>133</v>
      </c>
      <c r="E11" s="2" t="s">
        <v>238</v>
      </c>
      <c r="F11" s="6">
        <v>51443</v>
      </c>
      <c r="G11" s="6">
        <v>46553</v>
      </c>
      <c r="H11" s="6">
        <v>95918</v>
      </c>
      <c r="I11" s="6">
        <v>0</v>
      </c>
      <c r="J11" s="6">
        <v>0</v>
      </c>
      <c r="K11" s="6">
        <v>7</v>
      </c>
      <c r="L11" s="6">
        <v>9</v>
      </c>
      <c r="M11" s="6">
        <v>0</v>
      </c>
      <c r="N11" s="6">
        <v>0</v>
      </c>
      <c r="O11" s="6">
        <v>209414</v>
      </c>
      <c r="P11" s="2"/>
    </row>
    <row r="12" spans="2:16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2:16" x14ac:dyDescent="0.2">
      <c r="B14" s="2"/>
      <c r="C14" s="5" t="s">
        <v>241</v>
      </c>
      <c r="D14" s="5" t="s">
        <v>228</v>
      </c>
      <c r="E14" s="5" t="s">
        <v>5</v>
      </c>
      <c r="F14" s="5" t="s">
        <v>229</v>
      </c>
      <c r="G14" s="5" t="s">
        <v>230</v>
      </c>
      <c r="H14" s="5" t="s">
        <v>231</v>
      </c>
      <c r="I14" s="5" t="s">
        <v>105</v>
      </c>
      <c r="J14" s="5" t="s">
        <v>232</v>
      </c>
      <c r="K14" s="5" t="s">
        <v>233</v>
      </c>
      <c r="L14" s="5" t="s">
        <v>107</v>
      </c>
      <c r="M14" s="5" t="s">
        <v>234</v>
      </c>
      <c r="N14" s="5" t="s">
        <v>235</v>
      </c>
      <c r="O14" s="5" t="s">
        <v>236</v>
      </c>
    </row>
    <row r="15" spans="2:16" x14ac:dyDescent="0.2">
      <c r="B15" s="2"/>
      <c r="C15" s="2"/>
      <c r="D15" s="2">
        <v>133</v>
      </c>
      <c r="E15" s="2" t="s">
        <v>242</v>
      </c>
      <c r="F15" s="2">
        <v>64.599999999999994</v>
      </c>
      <c r="G15" s="2">
        <v>92.5</v>
      </c>
      <c r="H15" s="2">
        <v>73</v>
      </c>
      <c r="I15" s="7" t="s">
        <v>161</v>
      </c>
      <c r="J15" s="2">
        <v>44.6</v>
      </c>
      <c r="K15" s="2">
        <v>26</v>
      </c>
      <c r="L15" s="7" t="s">
        <v>161</v>
      </c>
      <c r="M15" s="7" t="s">
        <v>161</v>
      </c>
      <c r="N15" s="2">
        <v>0</v>
      </c>
      <c r="O15" s="2">
        <f>SUM(F15:N15)</f>
        <v>300.7</v>
      </c>
    </row>
    <row r="16" spans="2:16" x14ac:dyDescent="0.2">
      <c r="B16" s="2"/>
    </row>
    <row r="17" spans="2:15" x14ac:dyDescent="0.2">
      <c r="B17" s="2"/>
    </row>
    <row r="18" spans="2:15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407F-0DCA-4A87-B14E-0A9BF15C2E54}">
  <dimension ref="D5:L16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4" max="4" width="18.33203125" bestFit="1" customWidth="1"/>
  </cols>
  <sheetData>
    <row r="5" spans="4:12" x14ac:dyDescent="0.2">
      <c r="D5" t="s">
        <v>243</v>
      </c>
    </row>
    <row r="7" spans="4:12" x14ac:dyDescent="0.2">
      <c r="D7" s="27"/>
      <c r="E7" s="28"/>
      <c r="F7" s="28"/>
      <c r="G7" s="28"/>
      <c r="H7" s="28"/>
      <c r="I7" s="28"/>
      <c r="J7" s="28"/>
      <c r="K7" s="28"/>
      <c r="L7" s="28"/>
    </row>
    <row r="8" spans="4:12" x14ac:dyDescent="0.2">
      <c r="D8" s="28" t="s">
        <v>244</v>
      </c>
      <c r="E8" s="28" t="s">
        <v>245</v>
      </c>
      <c r="F8" s="28" t="s">
        <v>246</v>
      </c>
      <c r="G8" s="28" t="s">
        <v>247</v>
      </c>
      <c r="H8" s="28" t="s">
        <v>248</v>
      </c>
      <c r="I8" s="28" t="s">
        <v>249</v>
      </c>
      <c r="J8" s="28" t="s">
        <v>250</v>
      </c>
      <c r="K8" s="28" t="s">
        <v>251</v>
      </c>
      <c r="L8" s="28" t="s">
        <v>252</v>
      </c>
    </row>
    <row r="9" spans="4:12" x14ac:dyDescent="0.2">
      <c r="D9" s="29" t="s">
        <v>253</v>
      </c>
      <c r="E9" s="29" t="s">
        <v>254</v>
      </c>
      <c r="F9" s="29">
        <v>60</v>
      </c>
      <c r="G9" s="29">
        <v>2</v>
      </c>
      <c r="H9" s="29">
        <v>140</v>
      </c>
      <c r="I9" s="29" t="s">
        <v>255</v>
      </c>
      <c r="J9" s="29"/>
      <c r="K9" s="29">
        <v>50.84</v>
      </c>
      <c r="L9" s="29">
        <v>45.05</v>
      </c>
    </row>
    <row r="10" spans="4:12" x14ac:dyDescent="0.2">
      <c r="D10" s="28"/>
      <c r="E10" s="28"/>
      <c r="F10" s="28"/>
      <c r="G10" s="28"/>
      <c r="H10" s="28"/>
      <c r="I10" s="28"/>
      <c r="J10" s="28"/>
      <c r="K10" s="28"/>
      <c r="L10" s="28"/>
    </row>
    <row r="11" spans="4:12" x14ac:dyDescent="0.2">
      <c r="D11" s="28"/>
      <c r="E11" s="28"/>
      <c r="F11" s="28"/>
      <c r="G11" s="28"/>
      <c r="H11" s="28"/>
      <c r="I11" s="28"/>
      <c r="J11" s="28"/>
      <c r="K11" s="28"/>
      <c r="L11" s="28"/>
    </row>
    <row r="12" spans="4:12" x14ac:dyDescent="0.2">
      <c r="D12" s="28" t="s">
        <v>256</v>
      </c>
      <c r="E12" s="30" t="s">
        <v>257</v>
      </c>
      <c r="F12" s="28"/>
      <c r="G12" s="28"/>
      <c r="H12" s="28"/>
      <c r="I12" s="28"/>
      <c r="J12" s="28"/>
      <c r="K12" s="28"/>
      <c r="L12" s="28"/>
    </row>
    <row r="13" spans="4:12" x14ac:dyDescent="0.2">
      <c r="D13" s="28"/>
      <c r="E13" s="28"/>
      <c r="F13" s="28"/>
      <c r="G13" s="28"/>
      <c r="H13" s="28"/>
      <c r="I13" s="28"/>
      <c r="J13" s="28"/>
      <c r="K13" s="28"/>
      <c r="L13" s="28"/>
    </row>
    <row r="14" spans="4:12" x14ac:dyDescent="0.2">
      <c r="D14" s="28"/>
      <c r="E14" s="28"/>
      <c r="F14" s="28"/>
      <c r="G14" s="28"/>
      <c r="H14" s="28"/>
      <c r="I14" s="28"/>
      <c r="J14" s="28"/>
      <c r="K14" s="28"/>
      <c r="L14" s="28"/>
    </row>
    <row r="15" spans="4:12" x14ac:dyDescent="0.2">
      <c r="D15" s="28"/>
      <c r="E15" s="28"/>
      <c r="F15" s="28"/>
      <c r="G15" s="28"/>
      <c r="H15" s="28"/>
      <c r="I15" s="28"/>
      <c r="J15" s="28"/>
      <c r="K15" s="28"/>
      <c r="L15" s="28"/>
    </row>
    <row r="16" spans="4:12" x14ac:dyDescent="0.2">
      <c r="D16" s="28"/>
      <c r="E16" s="28"/>
      <c r="F16" s="28"/>
      <c r="G16" s="28"/>
      <c r="H16" s="28"/>
      <c r="I16" s="28"/>
      <c r="J16" s="28"/>
      <c r="K16" s="28"/>
      <c r="L16" s="28"/>
    </row>
  </sheetData>
  <hyperlinks>
    <hyperlink ref="E12" r:id="rId1" location=":~:text=UT60%20280mm%20Technical%20Specifications%20as,Weight:1764g%E2%80%9D" xr:uid="{500799BA-BB0D-2B40-ABF0-67CB1478442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f998a-1eac-4c61-8aea-389818f79c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A2827614557140A30579C8021AA72A" ma:contentTypeVersion="10" ma:contentTypeDescription="Crear nuevo documento." ma:contentTypeScope="" ma:versionID="ad55a5d9a99f2eb6fbf14ca0635101c2">
  <xsd:schema xmlns:xsd="http://www.w3.org/2001/XMLSchema" xmlns:xs="http://www.w3.org/2001/XMLSchema" xmlns:p="http://schemas.microsoft.com/office/2006/metadata/properties" xmlns:ns2="d89f998a-1eac-4c61-8aea-389818f79ce4" targetNamespace="http://schemas.microsoft.com/office/2006/metadata/properties" ma:root="true" ma:fieldsID="3191dce35da8ca446acacc643de86a52" ns2:_="">
    <xsd:import namespace="d89f998a-1eac-4c61-8aea-389818f79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f998a-1eac-4c61-8aea-389818f79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f9a7d71-2540-4888-9211-9438fa205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A937D-2F65-402D-A100-2BC9FE25CB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4C2141-3C3A-49FE-A6E3-0397267380BC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d89f998a-1eac-4c61-8aea-389818f79ce4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64B06F9-6C12-40F8-ABA5-9E9D01AC7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9f998a-1eac-4c61-8aea-389818f79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FSS2025</vt:lpstr>
      <vt:lpstr>FSATA2025</vt:lpstr>
      <vt:lpstr>ISC</vt:lpstr>
      <vt:lpstr>COOLINGG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Ángel Medina Lazcano</cp:lastModifiedBy>
  <cp:revision/>
  <dcterms:created xsi:type="dcterms:W3CDTF">2026-02-03T09:57:30Z</dcterms:created>
  <dcterms:modified xsi:type="dcterms:W3CDTF">2026-02-08T09:59:09Z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0x01010008A2827614557140A30579C8021AA72A</vt:lpwstr>
  </property>
  <property fmtid="{D5CDD505-2E9C-101B-9397-08002B2CF9AE}" pid="3" name="MediaServiceImageTags">
    <vt:lpwstr/>
  </property>
</Properties>
</file>